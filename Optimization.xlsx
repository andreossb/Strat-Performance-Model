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asss/Desktop/Tutto/"/>
    </mc:Choice>
  </mc:AlternateContent>
  <xr:revisionPtr revIDLastSave="0" documentId="13_ncr:1_{D4600421-4463-7B49-B307-F7CA554B4C16}" xr6:coauthVersionLast="47" xr6:coauthVersionMax="47" xr10:uidLastSave="{00000000-0000-0000-0000-000000000000}"/>
  <bookViews>
    <workbookView xWindow="-20" yWindow="720" windowWidth="22480" windowHeight="17740" activeTab="5" xr2:uid="{00000000-000D-0000-FFFF-FFFF00000000}"/>
  </bookViews>
  <sheets>
    <sheet name="MARKET_BENCHMARK" sheetId="1" r:id="rId1"/>
    <sheet name="OPERATIONAL_SIMULATOR" sheetId="2" r:id="rId2"/>
    <sheet name="RND_PERFORMANCE_MODEL" sheetId="3" r:id="rId3"/>
    <sheet name="HEATMAP" sheetId="7" r:id="rId4"/>
    <sheet name="MONTE_CARLO_SIM" sheetId="4" r:id="rId5"/>
    <sheet name="EXECUTIVE" sheetId="5" r:id="rId6"/>
  </sheets>
  <definedNames>
    <definedName name="_xlnm._FilterDatabase" localSheetId="4" hidden="1">MONTE_CARLO_SIM!$D$1:$D$53</definedName>
    <definedName name="_xlchart.v1.0" hidden="1">MONTE_CARLO_SIM!$B$1</definedName>
    <definedName name="_xlchart.v1.1" hidden="1">MONTE_CARLO_SIM!$B$2:$B$51</definedName>
    <definedName name="_xlchart.v1.10" hidden="1">MONTE_CARLO_SIM!$D$1</definedName>
    <definedName name="_xlchart.v1.11" hidden="1">MONTE_CARLO_SIM!$D$2:$D$51</definedName>
    <definedName name="_xlchart.v1.12" hidden="1">MONTE_CARLO_SIM!$B$1</definedName>
    <definedName name="_xlchart.v1.13" hidden="1">MONTE_CARLO_SIM!$B$2:$B$51</definedName>
    <definedName name="_xlchart.v1.14" hidden="1">MONTE_CARLO_SIM!$C$1</definedName>
    <definedName name="_xlchart.v1.15" hidden="1">MONTE_CARLO_SIM!$C$2:$C$51</definedName>
    <definedName name="_xlchart.v1.16" hidden="1">MONTE_CARLO_SIM!$D$1</definedName>
    <definedName name="_xlchart.v1.17" hidden="1">MONTE_CARLO_SIM!$D$2:$D$51</definedName>
    <definedName name="_xlchart.v1.18" hidden="1">MONTE_CARLO_SIM!$B$1</definedName>
    <definedName name="_xlchart.v1.19" hidden="1">MONTE_CARLO_SIM!$B$2:$B$51</definedName>
    <definedName name="_xlchart.v1.2" hidden="1">MONTE_CARLO_SIM!$C$1</definedName>
    <definedName name="_xlchart.v1.20" hidden="1">MONTE_CARLO_SIM!$C$1</definedName>
    <definedName name="_xlchart.v1.21" hidden="1">MONTE_CARLO_SIM!$C$2:$C$51</definedName>
    <definedName name="_xlchart.v1.22" hidden="1">MONTE_CARLO_SIM!$D$1</definedName>
    <definedName name="_xlchart.v1.23" hidden="1">MONTE_CARLO_SIM!$D$2:$D$51</definedName>
    <definedName name="_xlchart.v1.3" hidden="1">MONTE_CARLO_SIM!$C$2:$C$51</definedName>
    <definedName name="_xlchart.v1.4" hidden="1">MONTE_CARLO_SIM!$D$1</definedName>
    <definedName name="_xlchart.v1.5" hidden="1">MONTE_CARLO_SIM!$D$2:$D$51</definedName>
    <definedName name="_xlchart.v1.6" hidden="1">MONTE_CARLO_SIM!$B$1</definedName>
    <definedName name="_xlchart.v1.7" hidden="1">MONTE_CARLO_SIM!$B$2:$B$51</definedName>
    <definedName name="_xlchart.v1.8" hidden="1">MONTE_CARLO_SIM!$C$1</definedName>
    <definedName name="_xlchart.v1.9" hidden="1">MONTE_CARLO_SIM!$C$2:$C$51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7" l="1"/>
  <c r="B6" i="2"/>
  <c r="C11" i="1"/>
  <c r="C5" i="7"/>
  <c r="B4" i="7"/>
  <c r="C4" i="7"/>
  <c r="D4" i="7"/>
  <c r="E4" i="7"/>
  <c r="F4" i="7"/>
  <c r="D5" i="7"/>
  <c r="E5" i="7"/>
  <c r="F5" i="7"/>
  <c r="C6" i="7"/>
  <c r="D6" i="7"/>
  <c r="E6" i="7"/>
  <c r="F6" i="7"/>
  <c r="C7" i="7"/>
  <c r="D7" i="7"/>
  <c r="E7" i="7"/>
  <c r="F7" i="7"/>
  <c r="C8" i="7"/>
  <c r="D8" i="7"/>
  <c r="E8" i="7"/>
  <c r="B5" i="7"/>
  <c r="B6" i="7"/>
  <c r="B7" i="7"/>
  <c r="B8" i="7"/>
  <c r="B8" i="3"/>
  <c r="C8" i="1" s="1"/>
  <c r="C12" i="1" s="1"/>
  <c r="B4" i="4"/>
  <c r="B2" i="4"/>
  <c r="C2" i="4"/>
  <c r="B3" i="4"/>
  <c r="C3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3" i="5"/>
  <c r="B6" i="3"/>
  <c r="B5" i="5" s="1"/>
  <c r="B7" i="5" s="1"/>
  <c r="B5" i="3"/>
  <c r="B4" i="5"/>
  <c r="B4" i="2"/>
  <c r="B8" i="2" l="1"/>
  <c r="B2" i="5" s="1"/>
  <c r="B8" i="5" s="1"/>
  <c r="D16" i="4"/>
  <c r="R16" i="4" s="1"/>
  <c r="D50" i="4"/>
  <c r="S50" i="4" s="1"/>
  <c r="D42" i="4"/>
  <c r="R42" i="4" s="1"/>
  <c r="D34" i="4"/>
  <c r="T34" i="4" s="1"/>
  <c r="D26" i="4"/>
  <c r="T26" i="4" s="1"/>
  <c r="D18" i="4"/>
  <c r="R18" i="4" s="1"/>
  <c r="D10" i="4"/>
  <c r="R10" i="4" s="1"/>
  <c r="D49" i="4"/>
  <c r="S49" i="4" s="1"/>
  <c r="D45" i="4"/>
  <c r="T45" i="4" s="1"/>
  <c r="D41" i="4"/>
  <c r="S41" i="4" s="1"/>
  <c r="D37" i="4"/>
  <c r="R37" i="4" s="1"/>
  <c r="D33" i="4"/>
  <c r="T33" i="4" s="1"/>
  <c r="D29" i="4"/>
  <c r="S29" i="4" s="1"/>
  <c r="D25" i="4"/>
  <c r="T25" i="4" s="1"/>
  <c r="D51" i="4"/>
  <c r="S51" i="4" s="1"/>
  <c r="D43" i="4"/>
  <c r="T43" i="4" s="1"/>
  <c r="D35" i="4"/>
  <c r="T35" i="4" s="1"/>
  <c r="D19" i="4"/>
  <c r="T19" i="4" s="1"/>
  <c r="D11" i="4"/>
  <c r="S11" i="4" s="1"/>
  <c r="D3" i="4"/>
  <c r="T3" i="4" s="1"/>
  <c r="D44" i="4"/>
  <c r="T44" i="4" s="1"/>
  <c r="D27" i="4"/>
  <c r="R27" i="4" s="1"/>
  <c r="D12" i="4"/>
  <c r="T12" i="4" s="1"/>
  <c r="D48" i="4"/>
  <c r="S48" i="4" s="1"/>
  <c r="D40" i="4"/>
  <c r="D36" i="4"/>
  <c r="T36" i="4" s="1"/>
  <c r="D32" i="4"/>
  <c r="D28" i="4"/>
  <c r="T28" i="4" s="1"/>
  <c r="D24" i="4"/>
  <c r="T24" i="4" s="1"/>
  <c r="D20" i="4"/>
  <c r="T20" i="4" s="1"/>
  <c r="D4" i="4"/>
  <c r="R4" i="4" s="1"/>
  <c r="D21" i="4"/>
  <c r="R21" i="4" s="1"/>
  <c r="D17" i="4"/>
  <c r="T17" i="4" s="1"/>
  <c r="D13" i="4"/>
  <c r="R13" i="4" s="1"/>
  <c r="D9" i="4"/>
  <c r="S9" i="4" s="1"/>
  <c r="D5" i="4"/>
  <c r="R5" i="4" s="1"/>
  <c r="D15" i="4"/>
  <c r="S15" i="4" s="1"/>
  <c r="D46" i="4"/>
  <c r="R46" i="4" s="1"/>
  <c r="D39" i="4"/>
  <c r="T39" i="4" s="1"/>
  <c r="D14" i="4"/>
  <c r="T14" i="4" s="1"/>
  <c r="D7" i="4"/>
  <c r="T7" i="4" s="1"/>
  <c r="D38" i="4"/>
  <c r="R38" i="4" s="1"/>
  <c r="D6" i="4"/>
  <c r="R6" i="4" s="1"/>
  <c r="D2" i="4"/>
  <c r="R2" i="4" s="1"/>
  <c r="D8" i="4"/>
  <c r="S8" i="4" s="1"/>
  <c r="D47" i="4"/>
  <c r="T47" i="4" s="1"/>
  <c r="D22" i="4"/>
  <c r="S22" i="4" s="1"/>
  <c r="D31" i="4"/>
  <c r="R31" i="4" s="1"/>
  <c r="D30" i="4"/>
  <c r="R30" i="4" s="1"/>
  <c r="D23" i="4"/>
  <c r="S23" i="4" s="1"/>
  <c r="B9" i="3"/>
  <c r="S45" i="4" l="1"/>
  <c r="S42" i="4"/>
  <c r="R44" i="4"/>
  <c r="S33" i="4"/>
  <c r="R3" i="4"/>
  <c r="S20" i="4"/>
  <c r="R7" i="4"/>
  <c r="S37" i="4"/>
  <c r="R49" i="4"/>
  <c r="R23" i="4"/>
  <c r="T41" i="4"/>
  <c r="S4" i="4"/>
  <c r="R14" i="4"/>
  <c r="S12" i="4"/>
  <c r="R11" i="4"/>
  <c r="R24" i="4"/>
  <c r="S38" i="4"/>
  <c r="S35" i="4"/>
  <c r="S30" i="4"/>
  <c r="S36" i="4"/>
  <c r="R15" i="4"/>
  <c r="S19" i="4"/>
  <c r="S5" i="4"/>
  <c r="S31" i="4"/>
  <c r="R47" i="4"/>
  <c r="S10" i="4"/>
  <c r="T6" i="4"/>
  <c r="R19" i="4"/>
  <c r="T51" i="4"/>
  <c r="R43" i="4"/>
  <c r="S27" i="4"/>
  <c r="R29" i="4"/>
  <c r="R36" i="4"/>
  <c r="S14" i="4"/>
  <c r="T46" i="4"/>
  <c r="R20" i="4"/>
  <c r="S7" i="4"/>
  <c r="S17" i="4"/>
  <c r="R48" i="4"/>
  <c r="S3" i="4"/>
  <c r="S6" i="4"/>
  <c r="R9" i="4"/>
  <c r="T37" i="4"/>
  <c r="R41" i="4"/>
  <c r="S25" i="4"/>
  <c r="S43" i="4"/>
  <c r="R51" i="4"/>
  <c r="R22" i="4"/>
  <c r="T8" i="4"/>
  <c r="R8" i="4"/>
  <c r="T15" i="4"/>
  <c r="R26" i="4"/>
  <c r="T5" i="4"/>
  <c r="R17" i="4"/>
  <c r="R12" i="4"/>
  <c r="R34" i="4"/>
  <c r="R25" i="4"/>
  <c r="R28" i="4"/>
  <c r="R33" i="4"/>
  <c r="S46" i="4"/>
  <c r="R45" i="4"/>
  <c r="S47" i="4"/>
  <c r="S2" i="4"/>
  <c r="R50" i="4"/>
  <c r="S40" i="4"/>
  <c r="R40" i="4"/>
  <c r="T11" i="4"/>
  <c r="S34" i="4"/>
  <c r="R35" i="4"/>
  <c r="T32" i="4"/>
  <c r="R32" i="4"/>
  <c r="S24" i="4"/>
  <c r="R39" i="4"/>
  <c r="S28" i="4"/>
  <c r="S32" i="4"/>
  <c r="T48" i="4"/>
  <c r="T31" i="4"/>
  <c r="T9" i="4"/>
  <c r="S26" i="4"/>
  <c r="T18" i="4"/>
  <c r="S18" i="4"/>
  <c r="S39" i="4"/>
  <c r="S16" i="4"/>
  <c r="T13" i="4"/>
  <c r="S13" i="4"/>
  <c r="T10" i="4"/>
  <c r="T2" i="4"/>
  <c r="T21" i="4"/>
  <c r="S21" i="4"/>
  <c r="S44" i="4"/>
  <c r="T23" i="4"/>
  <c r="T42" i="4"/>
  <c r="T4" i="4"/>
  <c r="T27" i="4"/>
  <c r="T49" i="4"/>
  <c r="T50" i="4"/>
  <c r="T40" i="4"/>
  <c r="T38" i="4"/>
  <c r="T30" i="4"/>
  <c r="T16" i="4"/>
  <c r="T29" i="4"/>
  <c r="T22" i="4"/>
</calcChain>
</file>

<file path=xl/sharedStrings.xml><?xml version="1.0" encoding="utf-8"?>
<sst xmlns="http://schemas.openxmlformats.org/spreadsheetml/2006/main" count="101" uniqueCount="82">
  <si>
    <t>Category</t>
  </si>
  <si>
    <t>Cost (USD)</t>
  </si>
  <si>
    <t>Chassis</t>
  </si>
  <si>
    <t>High</t>
  </si>
  <si>
    <t>Medium</t>
  </si>
  <si>
    <t>Engine</t>
  </si>
  <si>
    <t>HPD / Chevrolet</t>
  </si>
  <si>
    <t>Tires</t>
  </si>
  <si>
    <t>Personnel</t>
  </si>
  <si>
    <t>Industry Benchmark</t>
  </si>
  <si>
    <t>Estimate</t>
  </si>
  <si>
    <t>Logistics</t>
  </si>
  <si>
    <t>Parameter</t>
  </si>
  <si>
    <t>Input / Formula</t>
  </si>
  <si>
    <t>Notes</t>
  </si>
  <si>
    <t>Total Season Distance (km)</t>
  </si>
  <si>
    <t>Road + Oval calendar</t>
  </si>
  <si>
    <t>Fuel Cost per km (USD)</t>
  </si>
  <si>
    <t>Variable Logistics Cost</t>
  </si>
  <si>
    <t>Distance-based model</t>
  </si>
  <si>
    <t>Risk Level</t>
  </si>
  <si>
    <t>Event-based risk profile</t>
  </si>
  <si>
    <t>Crash probability matrix</t>
  </si>
  <si>
    <t>Contingency Fund</t>
  </si>
  <si>
    <t>Value</t>
  </si>
  <si>
    <t>Description</t>
  </si>
  <si>
    <t>R&amp;D Spend (USD)</t>
  </si>
  <si>
    <t>Reliability Index (0-1)</t>
  </si>
  <si>
    <t>Adjusted Ops Cost</t>
  </si>
  <si>
    <t>R&amp;D Spend</t>
  </si>
  <si>
    <t>Points Outcome</t>
  </si>
  <si>
    <t>Metric</t>
  </si>
  <si>
    <t>Interpretation</t>
  </si>
  <si>
    <t>Total Ops Cost</t>
  </si>
  <si>
    <t>Mean outcome</t>
  </si>
  <si>
    <t>Performance-per-Dollar (PPD)</t>
  </si>
  <si>
    <t>Low</t>
  </si>
  <si>
    <t>Contingency (%)</t>
  </si>
  <si>
    <t>AI Predictive Savings (%)</t>
  </si>
  <si>
    <t>Crew</t>
  </si>
  <si>
    <t>Historical DNFs, center for random sim</t>
  </si>
  <si>
    <t>Dallara IR-18</t>
  </si>
  <si>
    <t>"Risk Tax" paid per km (amount lost)</t>
  </si>
  <si>
    <t>Expected Points per race</t>
  </si>
  <si>
    <t>Expected Points (total)</t>
  </si>
  <si>
    <t>Number of Races</t>
  </si>
  <si>
    <t>points/$1M spent</t>
  </si>
  <si>
    <t>Investment</t>
  </si>
  <si>
    <t>Base + contingency</t>
  </si>
  <si>
    <t>Seasonal budget</t>
  </si>
  <si>
    <t>Avg transport and fuel</t>
  </si>
  <si>
    <t>Expected Points Per Race</t>
  </si>
  <si>
    <t>Savings because of AI</t>
  </si>
  <si>
    <t>Adjusted Logistics Costs</t>
  </si>
  <si>
    <t>AI contribution</t>
  </si>
  <si>
    <t>(Budget * Contingency)</t>
  </si>
  <si>
    <t>Infos</t>
  </si>
  <si>
    <t>Historical Data</t>
  </si>
  <si>
    <t>Internal link</t>
  </si>
  <si>
    <t>External link</t>
  </si>
  <si>
    <t>Investment-to-performance</t>
  </si>
  <si>
    <t>What do colors mean?</t>
  </si>
  <si>
    <t>Total Budget</t>
  </si>
  <si>
    <t>Typical Base Budget</t>
  </si>
  <si>
    <t>Schedule</t>
  </si>
  <si>
    <t>Base Budget</t>
  </si>
  <si>
    <t>Reliability*</t>
  </si>
  <si>
    <t>R&amp;D Scenario</t>
  </si>
  <si>
    <t>Budget \ R&amp;D</t>
  </si>
  <si>
    <t>Cost</t>
  </si>
  <si>
    <t>Engine Lease (Season)</t>
  </si>
  <si>
    <t>Updates</t>
  </si>
  <si>
    <t>Firestone</t>
  </si>
  <si>
    <t>Tires Lease (259/280 sets)</t>
  </si>
  <si>
    <t>Emergency Shipping</t>
  </si>
  <si>
    <t>Core Costs</t>
  </si>
  <si>
    <t>Op. Overhead</t>
  </si>
  <si>
    <t>Continous R&amp;D</t>
  </si>
  <si>
    <t>McKinsey analysis</t>
  </si>
  <si>
    <t>Autoweek 2012</t>
  </si>
  <si>
    <t>ex. Aero + simulation + testing</t>
  </si>
  <si>
    <t>Championship Probability vs Budget/R&amp;D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</si>
</sst>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.00"/>
    <numFmt numFmtId="165" formatCode="&quot;$&quot;#,##0.000"/>
    <numFmt numFmtId="166" formatCode="0.000"/>
    <numFmt numFmtId="167" formatCode="&quot;$&quot;0.00,,&quot;M&quot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3" tint="0.39997558519241921"/>
      <name val="Calibri"/>
      <family val="2"/>
      <scheme val="minor"/>
    </font>
    <font>
      <u/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1" fillId="3" borderId="1" xfId="0" applyFont="1" applyFill="1" applyBorder="1"/>
    <xf numFmtId="0" fontId="1" fillId="0" borderId="0" xfId="0" applyFont="1" applyAlignment="1">
      <alignment horizontal="center"/>
    </xf>
    <xf numFmtId="0" fontId="0" fillId="5" borderId="1" xfId="0" applyFill="1" applyBorder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65" fontId="0" fillId="0" borderId="0" xfId="0" applyNumberFormat="1"/>
    <xf numFmtId="2" fontId="0" fillId="0" borderId="0" xfId="0" applyNumberFormat="1"/>
    <xf numFmtId="164" fontId="4" fillId="0" borderId="0" xfId="1" applyNumberFormat="1" applyFont="1"/>
    <xf numFmtId="0" fontId="4" fillId="0" borderId="0" xfId="1" applyFont="1"/>
    <xf numFmtId="166" fontId="2" fillId="0" borderId="0" xfId="0" applyNumberFormat="1" applyFont="1"/>
    <xf numFmtId="166" fontId="0" fillId="0" borderId="0" xfId="0" applyNumberFormat="1"/>
    <xf numFmtId="0" fontId="1" fillId="6" borderId="3" xfId="0" applyFont="1" applyFill="1" applyBorder="1"/>
    <xf numFmtId="0" fontId="1" fillId="6" borderId="2" xfId="0" applyFont="1" applyFill="1" applyBorder="1"/>
    <xf numFmtId="164" fontId="1" fillId="6" borderId="3" xfId="0" applyNumberFormat="1" applyFont="1" applyFill="1" applyBorder="1"/>
    <xf numFmtId="0" fontId="5" fillId="0" borderId="0" xfId="1" applyFont="1"/>
    <xf numFmtId="164" fontId="5" fillId="0" borderId="0" xfId="1" applyNumberFormat="1" applyFont="1"/>
    <xf numFmtId="0" fontId="5" fillId="0" borderId="0" xfId="1" applyNumberFormat="1" applyFont="1"/>
    <xf numFmtId="0" fontId="0" fillId="0" borderId="4" xfId="0" applyBorder="1"/>
    <xf numFmtId="0" fontId="1" fillId="0" borderId="5" xfId="0" applyFont="1" applyBorder="1"/>
    <xf numFmtId="0" fontId="5" fillId="0" borderId="6" xfId="1" applyFont="1" applyBorder="1"/>
    <xf numFmtId="0" fontId="1" fillId="0" borderId="7" xfId="0" applyFont="1" applyBorder="1"/>
    <xf numFmtId="167" fontId="0" fillId="0" borderId="0" xfId="0" applyNumberFormat="1"/>
    <xf numFmtId="0" fontId="6" fillId="7" borderId="0" xfId="0" applyFont="1" applyFill="1"/>
    <xf numFmtId="0" fontId="6" fillId="4" borderId="0" xfId="0" applyFont="1" applyFill="1"/>
    <xf numFmtId="0" fontId="6" fillId="2" borderId="0" xfId="0" applyFont="1" applyFill="1"/>
    <xf numFmtId="0" fontId="7" fillId="2" borderId="1" xfId="0" applyFont="1" applyFill="1" applyBorder="1"/>
    <xf numFmtId="0" fontId="7" fillId="4" borderId="1" xfId="0" applyFont="1" applyFill="1" applyBorder="1"/>
    <xf numFmtId="5" fontId="9" fillId="0" borderId="0" xfId="2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5" fontId="13" fillId="0" borderId="0" xfId="0" applyNumberFormat="1" applyFont="1"/>
    <xf numFmtId="0" fontId="4" fillId="0" borderId="8" xfId="1" applyFont="1" applyBorder="1"/>
    <xf numFmtId="0" fontId="14" fillId="0" borderId="0" xfId="0" applyFont="1"/>
    <xf numFmtId="0" fontId="4" fillId="0" borderId="0" xfId="1" applyFont="1" applyAlignment="1">
      <alignment horizontal="center"/>
    </xf>
    <xf numFmtId="0" fontId="11" fillId="0" borderId="0" xfId="0" applyFont="1" applyAlignment="1">
      <alignment horizontal="left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MONTE_CARLO_SIM!$B$1:$B$51</c:f>
              <c:strCache>
                <c:ptCount val="51"/>
                <c:pt idx="0">
                  <c:v>R&amp;D Scenario</c:v>
                </c:pt>
                <c:pt idx="1">
                  <c:v>$1,484,657.74</c:v>
                </c:pt>
                <c:pt idx="2">
                  <c:v>$1,667,666.51</c:v>
                </c:pt>
                <c:pt idx="3">
                  <c:v>$1,505,522.43</c:v>
                </c:pt>
                <c:pt idx="4">
                  <c:v>$1,528,133.58</c:v>
                </c:pt>
                <c:pt idx="5">
                  <c:v>$1,288,233.79</c:v>
                </c:pt>
                <c:pt idx="6">
                  <c:v>$1,611,374.06</c:v>
                </c:pt>
                <c:pt idx="7">
                  <c:v>$1,587,855.98</c:v>
                </c:pt>
                <c:pt idx="8">
                  <c:v>$1,604,463.07</c:v>
                </c:pt>
                <c:pt idx="9">
                  <c:v>$1,572,028.78</c:v>
                </c:pt>
                <c:pt idx="10">
                  <c:v>$1,674,420.02</c:v>
                </c:pt>
                <c:pt idx="11">
                  <c:v>$1,354,596.10</c:v>
                </c:pt>
                <c:pt idx="12">
                  <c:v>$1,663,546.08</c:v>
                </c:pt>
                <c:pt idx="13">
                  <c:v>$1,263,285.38</c:v>
                </c:pt>
                <c:pt idx="14">
                  <c:v>$1,429,734.20</c:v>
                </c:pt>
                <c:pt idx="15">
                  <c:v>$1,441,652.32</c:v>
                </c:pt>
                <c:pt idx="16">
                  <c:v>$1,223,397.96</c:v>
                </c:pt>
                <c:pt idx="17">
                  <c:v>$1,219,805.68</c:v>
                </c:pt>
                <c:pt idx="18">
                  <c:v>$1,340,127.81</c:v>
                </c:pt>
                <c:pt idx="19">
                  <c:v>$1,491,082.86</c:v>
                </c:pt>
                <c:pt idx="20">
                  <c:v>$1,467,856.54</c:v>
                </c:pt>
                <c:pt idx="21">
                  <c:v>$1,392,069.45</c:v>
                </c:pt>
                <c:pt idx="22">
                  <c:v>$1,178,242.81</c:v>
                </c:pt>
                <c:pt idx="23">
                  <c:v>$1,631,502.36</c:v>
                </c:pt>
                <c:pt idx="24">
                  <c:v>$1,287,817.92</c:v>
                </c:pt>
                <c:pt idx="25">
                  <c:v>$1,664,038.09</c:v>
                </c:pt>
                <c:pt idx="26">
                  <c:v>$1,596,257.13</c:v>
                </c:pt>
                <c:pt idx="27">
                  <c:v>$1,524,981.65</c:v>
                </c:pt>
                <c:pt idx="28">
                  <c:v>$1,297,008.30</c:v>
                </c:pt>
                <c:pt idx="29">
                  <c:v>$1,133,776.87</c:v>
                </c:pt>
                <c:pt idx="30">
                  <c:v>$1,579,848.43</c:v>
                </c:pt>
                <c:pt idx="31">
                  <c:v>$1,169,486.99</c:v>
                </c:pt>
                <c:pt idx="32">
                  <c:v>$1,656,259.02</c:v>
                </c:pt>
                <c:pt idx="33">
                  <c:v>$1,136,630.04</c:v>
                </c:pt>
                <c:pt idx="34">
                  <c:v>$1,609,567.87</c:v>
                </c:pt>
                <c:pt idx="35">
                  <c:v>$1,125,042.69</c:v>
                </c:pt>
                <c:pt idx="36">
                  <c:v>$1,375,208.15</c:v>
                </c:pt>
                <c:pt idx="37">
                  <c:v>$1,591,127.37</c:v>
                </c:pt>
                <c:pt idx="38">
                  <c:v>$1,602,832.90</c:v>
                </c:pt>
                <c:pt idx="39">
                  <c:v>$1,553,473.16</c:v>
                </c:pt>
                <c:pt idx="40">
                  <c:v>$1,251,749.81</c:v>
                </c:pt>
                <c:pt idx="41">
                  <c:v>$1,172,822.91</c:v>
                </c:pt>
                <c:pt idx="42">
                  <c:v>$1,346,984.45</c:v>
                </c:pt>
                <c:pt idx="43">
                  <c:v>$1,443,608.59</c:v>
                </c:pt>
                <c:pt idx="44">
                  <c:v>$1,627,430.65</c:v>
                </c:pt>
                <c:pt idx="45">
                  <c:v>$1,542,618.97</c:v>
                </c:pt>
                <c:pt idx="46">
                  <c:v>$1,467,715.66</c:v>
                </c:pt>
                <c:pt idx="47">
                  <c:v>$1,406,636.80</c:v>
                </c:pt>
                <c:pt idx="48">
                  <c:v>$1,198,875.75</c:v>
                </c:pt>
                <c:pt idx="49">
                  <c:v>$1,214,686.63</c:v>
                </c:pt>
                <c:pt idx="50">
                  <c:v>$1,676,391.10</c:v>
                </c:pt>
              </c:strCache>
            </c:strRef>
          </c:xVal>
          <c:yVal>
            <c:numRef>
              <c:f>MONTE_CARLO_SIM!$R$1:$R$51</c:f>
              <c:numCache>
                <c:formatCode>General</c:formatCode>
                <c:ptCount val="51"/>
                <c:pt idx="0">
                  <c:v>0</c:v>
                </c:pt>
                <c:pt idx="1">
                  <c:v>#N/A</c:v>
                </c:pt>
                <c:pt idx="2">
                  <c:v>17</c:v>
                </c:pt>
                <c:pt idx="3">
                  <c:v>#N/A</c:v>
                </c:pt>
                <c:pt idx="4">
                  <c:v>#N/A</c:v>
                </c:pt>
                <c:pt idx="5">
                  <c:v>14</c:v>
                </c:pt>
                <c:pt idx="6">
                  <c:v>17</c:v>
                </c:pt>
                <c:pt idx="7">
                  <c:v>#N/A</c:v>
                </c:pt>
                <c:pt idx="8">
                  <c:v>#N/A</c:v>
                </c:pt>
                <c:pt idx="9">
                  <c:v>17</c:v>
                </c:pt>
                <c:pt idx="10">
                  <c:v>19</c:v>
                </c:pt>
                <c:pt idx="11">
                  <c:v>#N/A</c:v>
                </c:pt>
                <c:pt idx="12">
                  <c:v>#N/A</c:v>
                </c:pt>
                <c:pt idx="13">
                  <c:v>14</c:v>
                </c:pt>
                <c:pt idx="14">
                  <c:v>15</c:v>
                </c:pt>
                <c:pt idx="15">
                  <c:v>#N/A</c:v>
                </c:pt>
                <c:pt idx="16">
                  <c:v>#N/A</c:v>
                </c:pt>
                <c:pt idx="17">
                  <c:v>13</c:v>
                </c:pt>
                <c:pt idx="18">
                  <c:v>#N/A</c:v>
                </c:pt>
                <c:pt idx="19">
                  <c:v>16</c:v>
                </c:pt>
                <c:pt idx="20">
                  <c:v>15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18</c:v>
                </c:pt>
                <c:pt idx="27">
                  <c:v>16</c:v>
                </c:pt>
                <c:pt idx="28">
                  <c:v>14</c:v>
                </c:pt>
                <c:pt idx="29">
                  <c:v>#N/A</c:v>
                </c:pt>
                <c:pt idx="30">
                  <c:v>17</c:v>
                </c:pt>
                <c:pt idx="31">
                  <c:v>12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17</c:v>
                </c:pt>
                <c:pt idx="39">
                  <c:v>#N/A</c:v>
                </c:pt>
                <c:pt idx="40">
                  <c:v>#N/A</c:v>
                </c:pt>
                <c:pt idx="41">
                  <c:v>12</c:v>
                </c:pt>
                <c:pt idx="42">
                  <c:v>#N/A</c:v>
                </c:pt>
                <c:pt idx="43">
                  <c:v>15</c:v>
                </c:pt>
                <c:pt idx="44">
                  <c:v>#N/A</c:v>
                </c:pt>
                <c:pt idx="45">
                  <c:v>17</c:v>
                </c:pt>
                <c:pt idx="46">
                  <c:v>#N/A</c:v>
                </c:pt>
                <c:pt idx="47">
                  <c:v>#N/A</c:v>
                </c:pt>
                <c:pt idx="48">
                  <c:v>13</c:v>
                </c:pt>
                <c:pt idx="49">
                  <c:v>#N/A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E-A04D-BD91-E8F6FD226F2E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MONTE_CARLO_SIM!$B$1:$B$51</c:f>
              <c:strCache>
                <c:ptCount val="51"/>
                <c:pt idx="0">
                  <c:v>R&amp;D Scenario</c:v>
                </c:pt>
                <c:pt idx="1">
                  <c:v>$1,484,657.74</c:v>
                </c:pt>
                <c:pt idx="2">
                  <c:v>$1,667,666.51</c:v>
                </c:pt>
                <c:pt idx="3">
                  <c:v>$1,505,522.43</c:v>
                </c:pt>
                <c:pt idx="4">
                  <c:v>$1,528,133.58</c:v>
                </c:pt>
                <c:pt idx="5">
                  <c:v>$1,288,233.79</c:v>
                </c:pt>
                <c:pt idx="6">
                  <c:v>$1,611,374.06</c:v>
                </c:pt>
                <c:pt idx="7">
                  <c:v>$1,587,855.98</c:v>
                </c:pt>
                <c:pt idx="8">
                  <c:v>$1,604,463.07</c:v>
                </c:pt>
                <c:pt idx="9">
                  <c:v>$1,572,028.78</c:v>
                </c:pt>
                <c:pt idx="10">
                  <c:v>$1,674,420.02</c:v>
                </c:pt>
                <c:pt idx="11">
                  <c:v>$1,354,596.10</c:v>
                </c:pt>
                <c:pt idx="12">
                  <c:v>$1,663,546.08</c:v>
                </c:pt>
                <c:pt idx="13">
                  <c:v>$1,263,285.38</c:v>
                </c:pt>
                <c:pt idx="14">
                  <c:v>$1,429,734.20</c:v>
                </c:pt>
                <c:pt idx="15">
                  <c:v>$1,441,652.32</c:v>
                </c:pt>
                <c:pt idx="16">
                  <c:v>$1,223,397.96</c:v>
                </c:pt>
                <c:pt idx="17">
                  <c:v>$1,219,805.68</c:v>
                </c:pt>
                <c:pt idx="18">
                  <c:v>$1,340,127.81</c:v>
                </c:pt>
                <c:pt idx="19">
                  <c:v>$1,491,082.86</c:v>
                </c:pt>
                <c:pt idx="20">
                  <c:v>$1,467,856.54</c:v>
                </c:pt>
                <c:pt idx="21">
                  <c:v>$1,392,069.45</c:v>
                </c:pt>
                <c:pt idx="22">
                  <c:v>$1,178,242.81</c:v>
                </c:pt>
                <c:pt idx="23">
                  <c:v>$1,631,502.36</c:v>
                </c:pt>
                <c:pt idx="24">
                  <c:v>$1,287,817.92</c:v>
                </c:pt>
                <c:pt idx="25">
                  <c:v>$1,664,038.09</c:v>
                </c:pt>
                <c:pt idx="26">
                  <c:v>$1,596,257.13</c:v>
                </c:pt>
                <c:pt idx="27">
                  <c:v>$1,524,981.65</c:v>
                </c:pt>
                <c:pt idx="28">
                  <c:v>$1,297,008.30</c:v>
                </c:pt>
                <c:pt idx="29">
                  <c:v>$1,133,776.87</c:v>
                </c:pt>
                <c:pt idx="30">
                  <c:v>$1,579,848.43</c:v>
                </c:pt>
                <c:pt idx="31">
                  <c:v>$1,169,486.99</c:v>
                </c:pt>
                <c:pt idx="32">
                  <c:v>$1,656,259.02</c:v>
                </c:pt>
                <c:pt idx="33">
                  <c:v>$1,136,630.04</c:v>
                </c:pt>
                <c:pt idx="34">
                  <c:v>$1,609,567.87</c:v>
                </c:pt>
                <c:pt idx="35">
                  <c:v>$1,125,042.69</c:v>
                </c:pt>
                <c:pt idx="36">
                  <c:v>$1,375,208.15</c:v>
                </c:pt>
                <c:pt idx="37">
                  <c:v>$1,591,127.37</c:v>
                </c:pt>
                <c:pt idx="38">
                  <c:v>$1,602,832.90</c:v>
                </c:pt>
                <c:pt idx="39">
                  <c:v>$1,553,473.16</c:v>
                </c:pt>
                <c:pt idx="40">
                  <c:v>$1,251,749.81</c:v>
                </c:pt>
                <c:pt idx="41">
                  <c:v>$1,172,822.91</c:v>
                </c:pt>
                <c:pt idx="42">
                  <c:v>$1,346,984.45</c:v>
                </c:pt>
                <c:pt idx="43">
                  <c:v>$1,443,608.59</c:v>
                </c:pt>
                <c:pt idx="44">
                  <c:v>$1,627,430.65</c:v>
                </c:pt>
                <c:pt idx="45">
                  <c:v>$1,542,618.97</c:v>
                </c:pt>
                <c:pt idx="46">
                  <c:v>$1,467,715.66</c:v>
                </c:pt>
                <c:pt idx="47">
                  <c:v>$1,406,636.80</c:v>
                </c:pt>
                <c:pt idx="48">
                  <c:v>$1,198,875.75</c:v>
                </c:pt>
                <c:pt idx="49">
                  <c:v>$1,214,686.63</c:v>
                </c:pt>
                <c:pt idx="50">
                  <c:v>$1,676,391.10</c:v>
                </c:pt>
              </c:strCache>
            </c:strRef>
          </c:xVal>
          <c:yVal>
            <c:numRef>
              <c:f>MONTE_CARLO_SIM!$S$1:$S$51</c:f>
              <c:numCache>
                <c:formatCode>General</c:formatCode>
                <c:ptCount val="51"/>
                <c:pt idx="0">
                  <c:v>0</c:v>
                </c:pt>
                <c:pt idx="1">
                  <c:v>15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17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12</c:v>
                </c:pt>
                <c:pt idx="17">
                  <c:v>#N/A</c:v>
                </c:pt>
                <c:pt idx="18">
                  <c:v>13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12</c:v>
                </c:pt>
                <c:pt idx="23">
                  <c:v>#N/A</c:v>
                </c:pt>
                <c:pt idx="24">
                  <c:v>13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17</c:v>
                </c:pt>
                <c:pt idx="33">
                  <c:v>#N/A</c:v>
                </c:pt>
                <c:pt idx="34">
                  <c:v>#N/A</c:v>
                </c:pt>
                <c:pt idx="35">
                  <c:v>11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16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17</c:v>
                </c:pt>
                <c:pt idx="45">
                  <c:v>#N/A</c:v>
                </c:pt>
                <c:pt idx="46">
                  <c:v>15</c:v>
                </c:pt>
                <c:pt idx="47">
                  <c:v>14</c:v>
                </c:pt>
                <c:pt idx="48">
                  <c:v>#N/A</c:v>
                </c:pt>
                <c:pt idx="49">
                  <c:v>13</c:v>
                </c:pt>
                <c:pt idx="5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E-A04D-BD91-E8F6FD226F2E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MONTE_CARLO_SIM!$B$1:$B$51</c:f>
              <c:strCache>
                <c:ptCount val="51"/>
                <c:pt idx="0">
                  <c:v>R&amp;D Scenario</c:v>
                </c:pt>
                <c:pt idx="1">
                  <c:v>$1,484,657.74</c:v>
                </c:pt>
                <c:pt idx="2">
                  <c:v>$1,667,666.51</c:v>
                </c:pt>
                <c:pt idx="3">
                  <c:v>$1,505,522.43</c:v>
                </c:pt>
                <c:pt idx="4">
                  <c:v>$1,528,133.58</c:v>
                </c:pt>
                <c:pt idx="5">
                  <c:v>$1,288,233.79</c:v>
                </c:pt>
                <c:pt idx="6">
                  <c:v>$1,611,374.06</c:v>
                </c:pt>
                <c:pt idx="7">
                  <c:v>$1,587,855.98</c:v>
                </c:pt>
                <c:pt idx="8">
                  <c:v>$1,604,463.07</c:v>
                </c:pt>
                <c:pt idx="9">
                  <c:v>$1,572,028.78</c:v>
                </c:pt>
                <c:pt idx="10">
                  <c:v>$1,674,420.02</c:v>
                </c:pt>
                <c:pt idx="11">
                  <c:v>$1,354,596.10</c:v>
                </c:pt>
                <c:pt idx="12">
                  <c:v>$1,663,546.08</c:v>
                </c:pt>
                <c:pt idx="13">
                  <c:v>$1,263,285.38</c:v>
                </c:pt>
                <c:pt idx="14">
                  <c:v>$1,429,734.20</c:v>
                </c:pt>
                <c:pt idx="15">
                  <c:v>$1,441,652.32</c:v>
                </c:pt>
                <c:pt idx="16">
                  <c:v>$1,223,397.96</c:v>
                </c:pt>
                <c:pt idx="17">
                  <c:v>$1,219,805.68</c:v>
                </c:pt>
                <c:pt idx="18">
                  <c:v>$1,340,127.81</c:v>
                </c:pt>
                <c:pt idx="19">
                  <c:v>$1,491,082.86</c:v>
                </c:pt>
                <c:pt idx="20">
                  <c:v>$1,467,856.54</c:v>
                </c:pt>
                <c:pt idx="21">
                  <c:v>$1,392,069.45</c:v>
                </c:pt>
                <c:pt idx="22">
                  <c:v>$1,178,242.81</c:v>
                </c:pt>
                <c:pt idx="23">
                  <c:v>$1,631,502.36</c:v>
                </c:pt>
                <c:pt idx="24">
                  <c:v>$1,287,817.92</c:v>
                </c:pt>
                <c:pt idx="25">
                  <c:v>$1,664,038.09</c:v>
                </c:pt>
                <c:pt idx="26">
                  <c:v>$1,596,257.13</c:v>
                </c:pt>
                <c:pt idx="27">
                  <c:v>$1,524,981.65</c:v>
                </c:pt>
                <c:pt idx="28">
                  <c:v>$1,297,008.30</c:v>
                </c:pt>
                <c:pt idx="29">
                  <c:v>$1,133,776.87</c:v>
                </c:pt>
                <c:pt idx="30">
                  <c:v>$1,579,848.43</c:v>
                </c:pt>
                <c:pt idx="31">
                  <c:v>$1,169,486.99</c:v>
                </c:pt>
                <c:pt idx="32">
                  <c:v>$1,656,259.02</c:v>
                </c:pt>
                <c:pt idx="33">
                  <c:v>$1,136,630.04</c:v>
                </c:pt>
                <c:pt idx="34">
                  <c:v>$1,609,567.87</c:v>
                </c:pt>
                <c:pt idx="35">
                  <c:v>$1,125,042.69</c:v>
                </c:pt>
                <c:pt idx="36">
                  <c:v>$1,375,208.15</c:v>
                </c:pt>
                <c:pt idx="37">
                  <c:v>$1,591,127.37</c:v>
                </c:pt>
                <c:pt idx="38">
                  <c:v>$1,602,832.90</c:v>
                </c:pt>
                <c:pt idx="39">
                  <c:v>$1,553,473.16</c:v>
                </c:pt>
                <c:pt idx="40">
                  <c:v>$1,251,749.81</c:v>
                </c:pt>
                <c:pt idx="41">
                  <c:v>$1,172,822.91</c:v>
                </c:pt>
                <c:pt idx="42">
                  <c:v>$1,346,984.45</c:v>
                </c:pt>
                <c:pt idx="43">
                  <c:v>$1,443,608.59</c:v>
                </c:pt>
                <c:pt idx="44">
                  <c:v>$1,627,430.65</c:v>
                </c:pt>
                <c:pt idx="45">
                  <c:v>$1,542,618.97</c:v>
                </c:pt>
                <c:pt idx="46">
                  <c:v>$1,467,715.66</c:v>
                </c:pt>
                <c:pt idx="47">
                  <c:v>$1,406,636.80</c:v>
                </c:pt>
                <c:pt idx="48">
                  <c:v>$1,198,875.75</c:v>
                </c:pt>
                <c:pt idx="49">
                  <c:v>$1,214,686.63</c:v>
                </c:pt>
                <c:pt idx="50">
                  <c:v>$1,676,391.10</c:v>
                </c:pt>
              </c:strCache>
            </c:strRef>
          </c:xVal>
          <c:yVal>
            <c:numRef>
              <c:f>MONTE_CARLO_SIM!$T$1:$T$51</c:f>
              <c:numCache>
                <c:formatCode>General</c:formatCode>
                <c:ptCount val="5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14</c:v>
                </c:pt>
                <c:pt idx="4">
                  <c:v>14</c:v>
                </c:pt>
                <c:pt idx="5">
                  <c:v>#N/A</c:v>
                </c:pt>
                <c:pt idx="6">
                  <c:v>#N/A</c:v>
                </c:pt>
                <c:pt idx="7">
                  <c:v>15</c:v>
                </c:pt>
                <c:pt idx="8">
                  <c:v>15</c:v>
                </c:pt>
                <c:pt idx="9">
                  <c:v>#N/A</c:v>
                </c:pt>
                <c:pt idx="10">
                  <c:v>#N/A</c:v>
                </c:pt>
                <c:pt idx="11">
                  <c:v>12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14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14</c:v>
                </c:pt>
                <c:pt idx="22">
                  <c:v>#N/A</c:v>
                </c:pt>
                <c:pt idx="23">
                  <c:v>15</c:v>
                </c:pt>
                <c:pt idx="24">
                  <c:v>#N/A</c:v>
                </c:pt>
                <c:pt idx="25">
                  <c:v>16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11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11</c:v>
                </c:pt>
                <c:pt idx="34">
                  <c:v>16</c:v>
                </c:pt>
                <c:pt idx="35">
                  <c:v>#N/A</c:v>
                </c:pt>
                <c:pt idx="36">
                  <c:v>13</c:v>
                </c:pt>
                <c:pt idx="37">
                  <c:v>15</c:v>
                </c:pt>
                <c:pt idx="38">
                  <c:v>#N/A</c:v>
                </c:pt>
                <c:pt idx="39">
                  <c:v>#N/A</c:v>
                </c:pt>
                <c:pt idx="40">
                  <c:v>12</c:v>
                </c:pt>
                <c:pt idx="41">
                  <c:v>#N/A</c:v>
                </c:pt>
                <c:pt idx="42">
                  <c:v>12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DE-A04D-BD91-E8F6FD226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847808"/>
        <c:axId val="2024833472"/>
      </c:scatterChart>
      <c:valAx>
        <c:axId val="2024847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crossAx val="2024833472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2024833472"/>
        <c:scaling>
          <c:orientation val="minMax"/>
          <c:max val="17"/>
          <c:min val="8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4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613834</xdr:colOff>
      <xdr:row>2</xdr:row>
      <xdr:rowOff>182034</xdr:rowOff>
    </xdr:from>
    <xdr:to>
      <xdr:col>13</xdr:col>
      <xdr:colOff>423334</xdr:colOff>
      <xdr:row>23</xdr:row>
      <xdr:rowOff>118534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E27096-6898-3F2F-0926-C2B5A7DD1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utoweek.com/racing/indycar/a2014111/dallara-named-indycar-chassis-supplier-2012/" TargetMode="External"/><Relationship Id="rId1" Type="http://schemas.openxmlformats.org/officeDocument/2006/relationships/hyperlink" Target="https://racer.com/2025/02/21/indycar-leaders-circle-contracts-increased-by-100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cer.com/2025/02/25/why-do-indycar-team-budgets-keep-climb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ckinsey.com/industries/industrials/our-insights/distribution-blog/harnessing-the-power-of-ai-in-distribution-operation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ycar.com/Sched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8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1.6640625" style="1" bestFit="1" customWidth="1"/>
    <col min="2" max="2" width="20.33203125" bestFit="1" customWidth="1"/>
    <col min="3" max="3" width="13.6640625" style="2" bestFit="1" customWidth="1"/>
    <col min="4" max="4" width="19" customWidth="1"/>
    <col min="5" max="5" width="12" bestFit="1" customWidth="1"/>
    <col min="7" max="7" width="13.33203125" bestFit="1" customWidth="1"/>
  </cols>
  <sheetData>
    <row r="1" spans="1:7" x14ac:dyDescent="0.2">
      <c r="A1" s="7" t="s">
        <v>0</v>
      </c>
      <c r="B1" s="7" t="s">
        <v>25</v>
      </c>
      <c r="C1" s="8" t="s">
        <v>1</v>
      </c>
      <c r="D1" s="7" t="s">
        <v>56</v>
      </c>
      <c r="E1" s="7" t="s">
        <v>69</v>
      </c>
      <c r="G1" s="7"/>
    </row>
    <row r="2" spans="1:7" x14ac:dyDescent="0.2">
      <c r="A2" s="1" t="s">
        <v>2</v>
      </c>
      <c r="B2" t="s">
        <v>41</v>
      </c>
      <c r="C2" s="2">
        <v>450000</v>
      </c>
      <c r="D2" s="13" t="s">
        <v>79</v>
      </c>
      <c r="E2" t="s">
        <v>3</v>
      </c>
      <c r="G2" s="39"/>
    </row>
    <row r="3" spans="1:7" x14ac:dyDescent="0.2">
      <c r="A3" s="1" t="s">
        <v>2</v>
      </c>
      <c r="B3" t="s">
        <v>71</v>
      </c>
      <c r="C3" s="2">
        <v>250000</v>
      </c>
      <c r="D3" t="s">
        <v>77</v>
      </c>
      <c r="E3" t="s">
        <v>4</v>
      </c>
    </row>
    <row r="4" spans="1:7" x14ac:dyDescent="0.2">
      <c r="A4" s="1" t="s">
        <v>5</v>
      </c>
      <c r="B4" t="s">
        <v>70</v>
      </c>
      <c r="C4" s="2">
        <v>1700000</v>
      </c>
      <c r="D4" s="13" t="s">
        <v>6</v>
      </c>
      <c r="E4" t="s">
        <v>3</v>
      </c>
    </row>
    <row r="5" spans="1:7" x14ac:dyDescent="0.2">
      <c r="A5" s="1" t="s">
        <v>7</v>
      </c>
      <c r="B5" t="s">
        <v>73</v>
      </c>
      <c r="C5" s="2">
        <v>1100000</v>
      </c>
      <c r="D5" t="s">
        <v>72</v>
      </c>
      <c r="E5" t="s">
        <v>3</v>
      </c>
    </row>
    <row r="6" spans="1:7" x14ac:dyDescent="0.2">
      <c r="A6" s="1" t="s">
        <v>8</v>
      </c>
      <c r="B6" t="s">
        <v>39</v>
      </c>
      <c r="C6" s="2">
        <v>1800000</v>
      </c>
      <c r="D6" t="s">
        <v>9</v>
      </c>
      <c r="E6" t="s">
        <v>10</v>
      </c>
    </row>
    <row r="7" spans="1:7" x14ac:dyDescent="0.2">
      <c r="A7" s="1" t="s">
        <v>11</v>
      </c>
      <c r="B7" t="s">
        <v>74</v>
      </c>
      <c r="C7" s="2">
        <v>450000</v>
      </c>
      <c r="D7" t="s">
        <v>57</v>
      </c>
      <c r="E7" t="s">
        <v>10</v>
      </c>
    </row>
    <row r="8" spans="1:7" x14ac:dyDescent="0.2">
      <c r="B8" t="s">
        <v>53</v>
      </c>
      <c r="C8" s="2">
        <f>RND_PERFORMANCE_MODEL!B8</f>
        <v>360000</v>
      </c>
      <c r="D8" s="19" t="s">
        <v>54</v>
      </c>
      <c r="E8" t="s">
        <v>10</v>
      </c>
    </row>
    <row r="10" spans="1:7" x14ac:dyDescent="0.2">
      <c r="A10" s="1" t="s">
        <v>65</v>
      </c>
      <c r="C10" s="2">
        <v>8500000</v>
      </c>
    </row>
    <row r="11" spans="1:7" x14ac:dyDescent="0.2">
      <c r="A11" s="1" t="s">
        <v>75</v>
      </c>
      <c r="C11" s="2">
        <f>SUM(C2:C6,C8)</f>
        <v>5660000</v>
      </c>
    </row>
    <row r="12" spans="1:7" x14ac:dyDescent="0.2">
      <c r="A12" s="1" t="s">
        <v>76</v>
      </c>
      <c r="C12" s="2">
        <f>C10-C11</f>
        <v>2840000</v>
      </c>
    </row>
    <row r="13" spans="1:7" x14ac:dyDescent="0.2">
      <c r="B13" s="22"/>
    </row>
    <row r="14" spans="1:7" x14ac:dyDescent="0.2">
      <c r="A14" s="23"/>
      <c r="B14" s="25" t="s">
        <v>61</v>
      </c>
    </row>
    <row r="15" spans="1:7" x14ac:dyDescent="0.2">
      <c r="A15" s="23"/>
      <c r="B15" s="24" t="s">
        <v>58</v>
      </c>
    </row>
    <row r="16" spans="1:7" x14ac:dyDescent="0.2">
      <c r="A16" s="23"/>
      <c r="B16" s="37" t="s">
        <v>59</v>
      </c>
    </row>
    <row r="17" spans="2:2" x14ac:dyDescent="0.2">
      <c r="B17" s="2"/>
    </row>
    <row r="18" spans="2:2" x14ac:dyDescent="0.2">
      <c r="B18" s="2"/>
    </row>
  </sheetData>
  <hyperlinks>
    <hyperlink ref="D4" r:id="rId1" xr:uid="{651DE938-CB40-5F4D-9610-EB947937B2CF}"/>
    <hyperlink ref="D8" location="RND_PERFORMANCE_MODEL!B8" display="AI contribution" xr:uid="{79F83DE5-7CE2-FA4F-8804-F67DEA9F21B9}"/>
    <hyperlink ref="D2" r:id="rId2" xr:uid="{5409069C-41F6-934C-8EB9-E905F1428E4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4"/>
  <sheetViews>
    <sheetView workbookViewId="0">
      <selection activeCell="C24" sqref="C24"/>
    </sheetView>
  </sheetViews>
  <sheetFormatPr baseColWidth="10" defaultColWidth="8.83203125" defaultRowHeight="15" x14ac:dyDescent="0.2"/>
  <cols>
    <col min="1" max="1" width="21.6640625" style="1" bestFit="1" customWidth="1"/>
    <col min="2" max="2" width="13.1640625" bestFit="1" customWidth="1"/>
    <col min="3" max="3" width="19.6640625" bestFit="1" customWidth="1"/>
  </cols>
  <sheetData>
    <row r="1" spans="1:3" x14ac:dyDescent="0.2">
      <c r="A1" s="7" t="s">
        <v>12</v>
      </c>
      <c r="B1" s="7" t="s">
        <v>13</v>
      </c>
      <c r="C1" s="7" t="s">
        <v>14</v>
      </c>
    </row>
    <row r="2" spans="1:3" x14ac:dyDescent="0.2">
      <c r="A2" s="1" t="s">
        <v>15</v>
      </c>
      <c r="B2">
        <v>6500</v>
      </c>
      <c r="C2" t="s">
        <v>16</v>
      </c>
    </row>
    <row r="3" spans="1:3" x14ac:dyDescent="0.2">
      <c r="A3" s="1" t="s">
        <v>17</v>
      </c>
      <c r="B3" s="2">
        <v>3.2</v>
      </c>
      <c r="C3" t="s">
        <v>50</v>
      </c>
    </row>
    <row r="4" spans="1:3" x14ac:dyDescent="0.2">
      <c r="A4" s="1" t="s">
        <v>18</v>
      </c>
      <c r="B4" s="2">
        <f>B2*B3</f>
        <v>20800</v>
      </c>
      <c r="C4" t="s">
        <v>19</v>
      </c>
    </row>
    <row r="5" spans="1:3" x14ac:dyDescent="0.2">
      <c r="A5" s="1" t="s">
        <v>20</v>
      </c>
      <c r="B5" s="3" t="s">
        <v>36</v>
      </c>
      <c r="C5" t="s">
        <v>21</v>
      </c>
    </row>
    <row r="6" spans="1:3" x14ac:dyDescent="0.2">
      <c r="A6" s="1" t="s">
        <v>37</v>
      </c>
      <c r="B6">
        <f>_xlfn.XLOOKUP(B5, A12:A14, B12:B14)</f>
        <v>0.15</v>
      </c>
      <c r="C6" t="s">
        <v>22</v>
      </c>
    </row>
    <row r="7" spans="1:3" x14ac:dyDescent="0.2">
      <c r="A7" s="1" t="s">
        <v>65</v>
      </c>
      <c r="B7" s="2">
        <v>8500000</v>
      </c>
      <c r="C7" s="12" t="s">
        <v>63</v>
      </c>
    </row>
    <row r="8" spans="1:3" x14ac:dyDescent="0.2">
      <c r="A8" s="1" t="s">
        <v>23</v>
      </c>
      <c r="B8" s="2">
        <f>B6*B7</f>
        <v>1275000</v>
      </c>
      <c r="C8" t="s">
        <v>55</v>
      </c>
    </row>
    <row r="9" spans="1:3" x14ac:dyDescent="0.2">
      <c r="B9" s="2"/>
    </row>
    <row r="11" spans="1:3" x14ac:dyDescent="0.2">
      <c r="A11" s="7" t="s">
        <v>20</v>
      </c>
      <c r="B11" s="7" t="s">
        <v>37</v>
      </c>
    </row>
    <row r="12" spans="1:3" x14ac:dyDescent="0.2">
      <c r="A12" s="30" t="s">
        <v>36</v>
      </c>
      <c r="B12" s="6">
        <v>0.15</v>
      </c>
    </row>
    <row r="13" spans="1:3" x14ac:dyDescent="0.2">
      <c r="A13" s="4" t="s">
        <v>4</v>
      </c>
      <c r="B13" s="6">
        <v>0.22</v>
      </c>
    </row>
    <row r="14" spans="1:3" x14ac:dyDescent="0.2">
      <c r="A14" s="31" t="s">
        <v>3</v>
      </c>
      <c r="B14" s="6">
        <v>0.3</v>
      </c>
    </row>
  </sheetData>
  <dataValidations count="1">
    <dataValidation type="list" sqref="B4" xr:uid="{00000000-0002-0000-0100-000000000000}">
      <formula1>"Low Risk,High Risk"</formula1>
    </dataValidation>
  </dataValidations>
  <hyperlinks>
    <hyperlink ref="C7" r:id="rId1" display="Typical IndyCar season" xr:uid="{6AEA3CC9-3835-8C4B-B45A-6C7DF738BF6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8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20.6640625" style="1" bestFit="1" customWidth="1"/>
    <col min="2" max="2" width="12.6640625" bestFit="1" customWidth="1"/>
    <col min="3" max="3" width="29.83203125" customWidth="1"/>
    <col min="5" max="5" width="11.6640625" bestFit="1" customWidth="1"/>
    <col min="6" max="6" width="9.1640625" bestFit="1" customWidth="1"/>
    <col min="7" max="10" width="10.6640625" bestFit="1" customWidth="1"/>
  </cols>
  <sheetData>
    <row r="1" spans="1:10" x14ac:dyDescent="0.2">
      <c r="A1" s="7" t="s">
        <v>12</v>
      </c>
      <c r="B1" s="7" t="s">
        <v>24</v>
      </c>
      <c r="C1" s="7" t="s">
        <v>25</v>
      </c>
    </row>
    <row r="2" spans="1:10" x14ac:dyDescent="0.2">
      <c r="A2" s="1" t="s">
        <v>26</v>
      </c>
      <c r="B2" s="2">
        <v>1400000</v>
      </c>
      <c r="C2" t="s">
        <v>80</v>
      </c>
    </row>
    <row r="3" spans="1:10" x14ac:dyDescent="0.2">
      <c r="A3" s="1" t="s">
        <v>27</v>
      </c>
      <c r="B3">
        <v>0.92</v>
      </c>
      <c r="C3" t="s">
        <v>40</v>
      </c>
    </row>
    <row r="4" spans="1:10" x14ac:dyDescent="0.2">
      <c r="A4" s="1" t="s">
        <v>38</v>
      </c>
      <c r="B4" s="13">
        <v>0.2</v>
      </c>
      <c r="C4" t="s">
        <v>78</v>
      </c>
    </row>
    <row r="5" spans="1:10" x14ac:dyDescent="0.2">
      <c r="A5" s="1" t="s">
        <v>28</v>
      </c>
      <c r="B5" s="10">
        <f>OPERATIONAL_SIMULATOR!B3*(1-B3)</f>
        <v>0.25599999999999989</v>
      </c>
      <c r="C5" t="s">
        <v>42</v>
      </c>
    </row>
    <row r="6" spans="1:10" x14ac:dyDescent="0.2">
      <c r="A6" s="1" t="s">
        <v>51</v>
      </c>
      <c r="B6">
        <f>ROUND((B2/100000)*(B3*1.1),0)</f>
        <v>14</v>
      </c>
      <c r="C6" t="s">
        <v>60</v>
      </c>
    </row>
    <row r="8" spans="1:10" x14ac:dyDescent="0.2">
      <c r="A8" s="17" t="s">
        <v>53</v>
      </c>
      <c r="B8" s="18">
        <f>MARKET_BENCHMARK!C7 * (1 - B4)</f>
        <v>360000</v>
      </c>
    </row>
    <row r="9" spans="1:10" x14ac:dyDescent="0.2">
      <c r="A9" s="16" t="s">
        <v>52</v>
      </c>
      <c r="B9" s="18">
        <f>MARKET_BENCHMARK!C7 - B8</f>
        <v>90000</v>
      </c>
    </row>
    <row r="11" spans="1:10" x14ac:dyDescent="0.2">
      <c r="E11" s="1"/>
      <c r="F11" s="1"/>
      <c r="G11" s="1"/>
    </row>
    <row r="13" spans="1:10" x14ac:dyDescent="0.2">
      <c r="E13" s="33"/>
      <c r="F13" s="32"/>
      <c r="G13" s="32"/>
      <c r="H13" s="32"/>
      <c r="I13" s="32"/>
      <c r="J13" s="32"/>
    </row>
    <row r="14" spans="1:10" x14ac:dyDescent="0.2">
      <c r="E14" s="32"/>
    </row>
    <row r="15" spans="1:10" x14ac:dyDescent="0.2">
      <c r="E15" s="32"/>
    </row>
    <row r="16" spans="1:10" x14ac:dyDescent="0.2">
      <c r="E16" s="32"/>
    </row>
    <row r="17" spans="5:5" x14ac:dyDescent="0.2">
      <c r="E17" s="32"/>
    </row>
    <row r="18" spans="5:5" x14ac:dyDescent="0.2">
      <c r="E18" s="32"/>
    </row>
  </sheetData>
  <conditionalFormatting sqref="F14:J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4" r:id="rId1" display="https://www.mckinsey.com/industries/industrials/our-insights/distribution-blog/harnessing-the-power-of-ai-in-distribution-operations" xr:uid="{F08E0415-0A49-084B-91DB-0DB1B86DA12E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68CA-FC01-A142-AF3E-D53BF58B9817}">
  <dimension ref="A1:F8"/>
  <sheetViews>
    <sheetView workbookViewId="0">
      <selection activeCell="F14" sqref="F14"/>
    </sheetView>
  </sheetViews>
  <sheetFormatPr baseColWidth="10" defaultRowHeight="15" x14ac:dyDescent="0.2"/>
  <cols>
    <col min="1" max="1" width="11.33203125" customWidth="1"/>
    <col min="2" max="2" width="9.1640625" bestFit="1" customWidth="1"/>
    <col min="3" max="5" width="10.6640625" bestFit="1" customWidth="1"/>
  </cols>
  <sheetData>
    <row r="1" spans="1:6" s="40" customFormat="1" x14ac:dyDescent="0.2">
      <c r="A1" s="40" t="s">
        <v>81</v>
      </c>
    </row>
    <row r="2" spans="1:6" x14ac:dyDescent="0.2">
      <c r="A2" s="35"/>
      <c r="B2" s="35"/>
      <c r="C2" s="35"/>
      <c r="D2" s="35"/>
      <c r="E2" s="35"/>
      <c r="F2" s="35"/>
    </row>
    <row r="3" spans="1:6" x14ac:dyDescent="0.2">
      <c r="A3" s="34" t="s">
        <v>68</v>
      </c>
      <c r="B3" s="36">
        <v>800000</v>
      </c>
      <c r="C3" s="36">
        <v>1000000</v>
      </c>
      <c r="D3" s="36">
        <v>1200000</v>
      </c>
      <c r="E3" s="36">
        <v>1400000</v>
      </c>
      <c r="F3" s="36">
        <v>1600000</v>
      </c>
    </row>
    <row r="4" spans="1:6" x14ac:dyDescent="0.2">
      <c r="A4" s="36">
        <v>6500000</v>
      </c>
      <c r="B4" s="38">
        <f>MIN(0.9, (LN($A4/1000000)*0.12 + LN(B$3/100000)*0.08))</f>
        <v>0.3909715845625778</v>
      </c>
      <c r="C4" s="38">
        <f t="shared" ref="C4:F4" si="0">MIN(0.9, (LN($A4/1000000)*0.12 + LN(C$3/100000)*0.08))</f>
        <v>0.40882306866771462</v>
      </c>
      <c r="D4" s="38">
        <f t="shared" si="0"/>
        <v>0.42340879321123098</v>
      </c>
      <c r="E4" s="38">
        <f t="shared" si="0"/>
        <v>0.43574084759741161</v>
      </c>
      <c r="F4" s="38">
        <f t="shared" si="0"/>
        <v>0.44642335900737345</v>
      </c>
    </row>
    <row r="5" spans="1:6" x14ac:dyDescent="0.2">
      <c r="A5" s="36">
        <v>7500000</v>
      </c>
      <c r="B5" s="38">
        <f t="shared" ref="B5:F8" si="1">MIN(0.9, (LN($A5/1000000)*0.12 + LN(B$3/100000)*0.08))</f>
        <v>0.40814368579945859</v>
      </c>
      <c r="C5" s="38">
        <f t="shared" si="1"/>
        <v>0.42599516990459541</v>
      </c>
      <c r="D5" s="38">
        <f t="shared" si="1"/>
        <v>0.44058089444811177</v>
      </c>
      <c r="E5" s="38">
        <f t="shared" si="1"/>
        <v>0.45291294883429245</v>
      </c>
      <c r="F5" s="38">
        <f t="shared" si="1"/>
        <v>0.46359546024425424</v>
      </c>
    </row>
    <row r="6" spans="1:6" x14ac:dyDescent="0.2">
      <c r="A6" s="36">
        <v>8500000</v>
      </c>
      <c r="B6" s="38">
        <f t="shared" si="1"/>
        <v>0.42316326295393936</v>
      </c>
      <c r="C6" s="38">
        <f t="shared" si="1"/>
        <v>0.44101474705907617</v>
      </c>
      <c r="D6" s="38">
        <f t="shared" si="1"/>
        <v>0.45560047160259254</v>
      </c>
      <c r="E6" s="38">
        <f t="shared" si="1"/>
        <v>0.46793252598877322</v>
      </c>
      <c r="F6" s="38">
        <f t="shared" si="1"/>
        <v>0.47861503739873501</v>
      </c>
    </row>
    <row r="7" spans="1:6" x14ac:dyDescent="0.2">
      <c r="A7" s="36">
        <v>9500000</v>
      </c>
      <c r="B7" s="38">
        <f t="shared" si="1"/>
        <v>0.43651033916716625</v>
      </c>
      <c r="C7" s="38">
        <f t="shared" si="1"/>
        <v>0.45436182327230307</v>
      </c>
      <c r="D7" s="38">
        <f t="shared" si="1"/>
        <v>0.46894754781581943</v>
      </c>
      <c r="E7" s="38">
        <f t="shared" si="1"/>
        <v>0.48127960220200006</v>
      </c>
      <c r="F7" s="38">
        <f t="shared" si="1"/>
        <v>0.4919621136119619</v>
      </c>
    </row>
    <row r="8" spans="1:6" x14ac:dyDescent="0.2">
      <c r="A8" s="36">
        <v>10500000</v>
      </c>
      <c r="B8" s="38">
        <f t="shared" si="1"/>
        <v>0.44852035419400416</v>
      </c>
      <c r="C8" s="38">
        <f t="shared" si="1"/>
        <v>0.46637183829914097</v>
      </c>
      <c r="D8" s="38">
        <f t="shared" si="1"/>
        <v>0.48095756284265734</v>
      </c>
      <c r="E8" s="38">
        <f t="shared" si="1"/>
        <v>0.49328961722883802</v>
      </c>
      <c r="F8" s="38">
        <f>MIN(0.9, (LN($A8/1000000)*0.12 + LN(F$3/100000)*0.08))</f>
        <v>0.50397212863879981</v>
      </c>
    </row>
  </sheetData>
  <mergeCells count="1">
    <mergeCell ref="A1:XFD1"/>
  </mergeCells>
  <conditionalFormatting sqref="B4:F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51"/>
  <sheetViews>
    <sheetView zoomScale="75" zoomScaleNormal="125" workbookViewId="0">
      <selection activeCell="M38" sqref="M38"/>
    </sheetView>
  </sheetViews>
  <sheetFormatPr baseColWidth="10" defaultColWidth="8.83203125" defaultRowHeight="15" x14ac:dyDescent="0.2"/>
  <cols>
    <col min="1" max="1" width="7.83203125" style="5" customWidth="1"/>
    <col min="2" max="2" width="14" style="2" bestFit="1" customWidth="1"/>
    <col min="3" max="3" width="9.83203125" style="15" bestFit="1" customWidth="1"/>
    <col min="4" max="4" width="13.5" bestFit="1" customWidth="1"/>
  </cols>
  <sheetData>
    <row r="1" spans="1:20" x14ac:dyDescent="0.2">
      <c r="A1" s="9"/>
      <c r="B1" s="8" t="s">
        <v>67</v>
      </c>
      <c r="C1" s="14" t="s">
        <v>66</v>
      </c>
      <c r="D1" s="7" t="s">
        <v>30</v>
      </c>
      <c r="R1" s="27" t="s">
        <v>3</v>
      </c>
      <c r="S1" s="28" t="s">
        <v>4</v>
      </c>
      <c r="T1" s="29" t="s">
        <v>36</v>
      </c>
    </row>
    <row r="2" spans="1:20" x14ac:dyDescent="0.2">
      <c r="B2" s="2">
        <f ca="1">RND_PERFORMANCE_MODEL!B2*(0.8+RAND()*0.4)</f>
        <v>1484657.7355154215</v>
      </c>
      <c r="C2" s="15">
        <f ca="1">RND_PERFORMANCE_MODEL!B3*(0.9+RAND()*0.2)</f>
        <v>0.91168670408543273</v>
      </c>
      <c r="D2">
        <f t="shared" ref="D2:D33" ca="1" si="0">ROUND((B2 /100000)*(C2*1.1),0)</f>
        <v>15</v>
      </c>
      <c r="R2" t="e">
        <f t="shared" ref="R2:R33" ca="1" si="1">IF(C2&gt;=0.95, D2, NA())</f>
        <v>#N/A</v>
      </c>
      <c r="S2">
        <f t="shared" ref="S2:S33" ca="1" si="2">IF(AND(C2&lt;0.95, C2&gt;=0.9), D2, NA())</f>
        <v>15</v>
      </c>
      <c r="T2" t="e">
        <f t="shared" ref="T2:T33" ca="1" si="3">IF(C2&lt;0.9, D2, NA())</f>
        <v>#N/A</v>
      </c>
    </row>
    <row r="3" spans="1:20" x14ac:dyDescent="0.2">
      <c r="B3" s="2">
        <f ca="1">RND_PERFORMANCE_MODEL!B2*(0.8+RAND()*0.4)</f>
        <v>1667666.5146092777</v>
      </c>
      <c r="C3" s="15">
        <f ca="1">RND_PERFORMANCE_MODEL!B3*(0.9+RAND()*0.2)</f>
        <v>0.95356467267842648</v>
      </c>
      <c r="D3">
        <f t="shared" ca="1" si="0"/>
        <v>17</v>
      </c>
      <c r="R3">
        <f t="shared" ca="1" si="1"/>
        <v>17</v>
      </c>
      <c r="S3" t="e">
        <f t="shared" ca="1" si="2"/>
        <v>#N/A</v>
      </c>
      <c r="T3" t="e">
        <f t="shared" ca="1" si="3"/>
        <v>#N/A</v>
      </c>
    </row>
    <row r="4" spans="1:20" x14ac:dyDescent="0.2">
      <c r="B4" s="2">
        <f ca="1">RND_PERFORMANCE_MODEL!B2*(0.8+RAND()*0.4)</f>
        <v>1505522.4316399507</v>
      </c>
      <c r="C4" s="15">
        <f ca="1">RND_PERFORMANCE_MODEL!B3*(0.9+RAND()*0.2)</f>
        <v>0.86274209031518911</v>
      </c>
      <c r="D4">
        <f t="shared" ca="1" si="0"/>
        <v>14</v>
      </c>
      <c r="R4" t="e">
        <f t="shared" ca="1" si="1"/>
        <v>#N/A</v>
      </c>
      <c r="S4" t="e">
        <f t="shared" ca="1" si="2"/>
        <v>#N/A</v>
      </c>
      <c r="T4">
        <f t="shared" ca="1" si="3"/>
        <v>14</v>
      </c>
    </row>
    <row r="5" spans="1:20" x14ac:dyDescent="0.2">
      <c r="B5" s="2">
        <f ca="1">RND_PERFORMANCE_MODEL!B2*(0.8+RAND()*0.4)</f>
        <v>1528133.5760350348</v>
      </c>
      <c r="C5" s="15">
        <f ca="1">RND_PERFORMANCE_MODEL!B3*(0.9+RAND()*0.2)</f>
        <v>0.83695057453283128</v>
      </c>
      <c r="D5">
        <f t="shared" ca="1" si="0"/>
        <v>14</v>
      </c>
      <c r="R5" t="e">
        <f t="shared" ca="1" si="1"/>
        <v>#N/A</v>
      </c>
      <c r="S5" t="e">
        <f t="shared" ca="1" si="2"/>
        <v>#N/A</v>
      </c>
      <c r="T5">
        <f t="shared" ca="1" si="3"/>
        <v>14</v>
      </c>
    </row>
    <row r="6" spans="1:20" x14ac:dyDescent="0.2">
      <c r="B6" s="2">
        <f ca="1">RND_PERFORMANCE_MODEL!B2*(0.8+RAND()*0.4)</f>
        <v>1288233.7874221313</v>
      </c>
      <c r="C6" s="15">
        <f ca="1">RND_PERFORMANCE_MODEL!B3*(0.9+RAND()*0.2)</f>
        <v>0.97147094664650102</v>
      </c>
      <c r="D6">
        <f t="shared" ca="1" si="0"/>
        <v>14</v>
      </c>
      <c r="R6">
        <f t="shared" ca="1" si="1"/>
        <v>14</v>
      </c>
      <c r="S6" t="e">
        <f t="shared" ca="1" si="2"/>
        <v>#N/A</v>
      </c>
      <c r="T6" t="e">
        <f t="shared" ca="1" si="3"/>
        <v>#N/A</v>
      </c>
    </row>
    <row r="7" spans="1:20" x14ac:dyDescent="0.2">
      <c r="B7" s="2">
        <f ca="1">RND_PERFORMANCE_MODEL!B2*(0.8+RAND()*0.4)</f>
        <v>1611374.0613205417</v>
      </c>
      <c r="C7" s="15">
        <f ca="1">RND_PERFORMANCE_MODEL!B3*(0.9+RAND()*0.2)</f>
        <v>0.96975779472538381</v>
      </c>
      <c r="D7">
        <f t="shared" ca="1" si="0"/>
        <v>17</v>
      </c>
      <c r="R7">
        <f t="shared" ca="1" si="1"/>
        <v>17</v>
      </c>
      <c r="S7" t="e">
        <f t="shared" ca="1" si="2"/>
        <v>#N/A</v>
      </c>
      <c r="T7" t="e">
        <f t="shared" ca="1" si="3"/>
        <v>#N/A</v>
      </c>
    </row>
    <row r="8" spans="1:20" x14ac:dyDescent="0.2">
      <c r="B8" s="2">
        <f ca="1">RND_PERFORMANCE_MODEL!B2*(0.8+RAND()*0.4)</f>
        <v>1587855.9814895131</v>
      </c>
      <c r="C8" s="15">
        <f ca="1">RND_PERFORMANCE_MODEL!B3*(0.9+RAND()*0.2)</f>
        <v>0.85028995648846128</v>
      </c>
      <c r="D8">
        <f t="shared" ca="1" si="0"/>
        <v>15</v>
      </c>
      <c r="R8" t="e">
        <f t="shared" ca="1" si="1"/>
        <v>#N/A</v>
      </c>
      <c r="S8" t="e">
        <f t="shared" ca="1" si="2"/>
        <v>#N/A</v>
      </c>
      <c r="T8">
        <f t="shared" ca="1" si="3"/>
        <v>15</v>
      </c>
    </row>
    <row r="9" spans="1:20" x14ac:dyDescent="0.2">
      <c r="B9" s="2">
        <f ca="1">RND_PERFORMANCE_MODEL!B2*(0.8+RAND()*0.4)</f>
        <v>1604463.0709958011</v>
      </c>
      <c r="C9" s="15">
        <f ca="1">RND_PERFORMANCE_MODEL!B3*(0.9+RAND()*0.2)</f>
        <v>0.85853860733951837</v>
      </c>
      <c r="D9">
        <f t="shared" ca="1" si="0"/>
        <v>15</v>
      </c>
      <c r="R9" t="e">
        <f t="shared" ca="1" si="1"/>
        <v>#N/A</v>
      </c>
      <c r="S9" t="e">
        <f t="shared" ca="1" si="2"/>
        <v>#N/A</v>
      </c>
      <c r="T9">
        <f t="shared" ca="1" si="3"/>
        <v>15</v>
      </c>
    </row>
    <row r="10" spans="1:20" x14ac:dyDescent="0.2">
      <c r="B10" s="2">
        <f ca="1">RND_PERFORMANCE_MODEL!B2*(0.8+RAND()*0.4)</f>
        <v>1572028.7827494622</v>
      </c>
      <c r="C10" s="15">
        <f ca="1">RND_PERFORMANCE_MODEL!B3*(0.9+RAND()*0.2)</f>
        <v>1.0044653044767295</v>
      </c>
      <c r="D10">
        <f t="shared" ca="1" si="0"/>
        <v>17</v>
      </c>
      <c r="R10">
        <f t="shared" ca="1" si="1"/>
        <v>17</v>
      </c>
      <c r="S10" t="e">
        <f t="shared" ca="1" si="2"/>
        <v>#N/A</v>
      </c>
      <c r="T10" t="e">
        <f t="shared" ca="1" si="3"/>
        <v>#N/A</v>
      </c>
    </row>
    <row r="11" spans="1:20" x14ac:dyDescent="0.2">
      <c r="B11" s="2">
        <f ca="1">RND_PERFORMANCE_MODEL!B2*(0.8+RAND()*0.4)</f>
        <v>1674420.0177853238</v>
      </c>
      <c r="C11" s="15">
        <f ca="1">RND_PERFORMANCE_MODEL!B3*(0.9+RAND()*0.2)</f>
        <v>1.0062905485606617</v>
      </c>
      <c r="D11">
        <f t="shared" ca="1" si="0"/>
        <v>19</v>
      </c>
      <c r="R11">
        <f t="shared" ca="1" si="1"/>
        <v>19</v>
      </c>
      <c r="S11" t="e">
        <f t="shared" ca="1" si="2"/>
        <v>#N/A</v>
      </c>
      <c r="T11" t="e">
        <f t="shared" ca="1" si="3"/>
        <v>#N/A</v>
      </c>
    </row>
    <row r="12" spans="1:20" x14ac:dyDescent="0.2">
      <c r="B12" s="2">
        <f ca="1">RND_PERFORMANCE_MODEL!B2*(0.8+RAND()*0.4)</f>
        <v>1354596.1049993534</v>
      </c>
      <c r="C12" s="15">
        <f ca="1">RND_PERFORMANCE_MODEL!B3*(0.9+RAND()*0.2)</f>
        <v>0.83606136888884963</v>
      </c>
      <c r="D12">
        <f t="shared" ca="1" si="0"/>
        <v>12</v>
      </c>
      <c r="R12" t="e">
        <f t="shared" ca="1" si="1"/>
        <v>#N/A</v>
      </c>
      <c r="S12" t="e">
        <f t="shared" ca="1" si="2"/>
        <v>#N/A</v>
      </c>
      <c r="T12">
        <f t="shared" ca="1" si="3"/>
        <v>12</v>
      </c>
    </row>
    <row r="13" spans="1:20" x14ac:dyDescent="0.2">
      <c r="B13" s="2">
        <f ca="1">RND_PERFORMANCE_MODEL!B2*(0.8+RAND()*0.4)</f>
        <v>1663546.0756441036</v>
      </c>
      <c r="C13" s="15">
        <f ca="1">RND_PERFORMANCE_MODEL!B3*(0.9+RAND()*0.2)</f>
        <v>0.92288985196319717</v>
      </c>
      <c r="D13">
        <f t="shared" ca="1" si="0"/>
        <v>17</v>
      </c>
      <c r="R13" t="e">
        <f t="shared" ca="1" si="1"/>
        <v>#N/A</v>
      </c>
      <c r="S13">
        <f t="shared" ca="1" si="2"/>
        <v>17</v>
      </c>
      <c r="T13" t="e">
        <f t="shared" ca="1" si="3"/>
        <v>#N/A</v>
      </c>
    </row>
    <row r="14" spans="1:20" x14ac:dyDescent="0.2">
      <c r="B14" s="2">
        <f ca="1">RND_PERFORMANCE_MODEL!B2*(0.8+RAND()*0.4)</f>
        <v>1263285.3795547311</v>
      </c>
      <c r="C14" s="15">
        <f ca="1">RND_PERFORMANCE_MODEL!B3*(0.9+RAND()*0.2)</f>
        <v>0.98949869694506376</v>
      </c>
      <c r="D14">
        <f t="shared" ca="1" si="0"/>
        <v>14</v>
      </c>
      <c r="R14">
        <f t="shared" ca="1" si="1"/>
        <v>14</v>
      </c>
      <c r="S14" t="e">
        <f t="shared" ca="1" si="2"/>
        <v>#N/A</v>
      </c>
      <c r="T14" t="e">
        <f t="shared" ca="1" si="3"/>
        <v>#N/A</v>
      </c>
    </row>
    <row r="15" spans="1:20" x14ac:dyDescent="0.2">
      <c r="B15" s="2">
        <f ca="1">RND_PERFORMANCE_MODEL!B2*(0.8+RAND()*0.4)</f>
        <v>1429734.2029472345</v>
      </c>
      <c r="C15" s="15">
        <f ca="1">RND_PERFORMANCE_MODEL!B3*(0.9+RAND()*0.2)</f>
        <v>0.96710871496229067</v>
      </c>
      <c r="D15">
        <f t="shared" ca="1" si="0"/>
        <v>15</v>
      </c>
      <c r="R15">
        <f t="shared" ca="1" si="1"/>
        <v>15</v>
      </c>
      <c r="S15" t="e">
        <f t="shared" ca="1" si="2"/>
        <v>#N/A</v>
      </c>
      <c r="T15" t="e">
        <f t="shared" ca="1" si="3"/>
        <v>#N/A</v>
      </c>
    </row>
    <row r="16" spans="1:20" x14ac:dyDescent="0.2">
      <c r="B16" s="2">
        <f ca="1">RND_PERFORMANCE_MODEL!B2*(0.8+RAND()*0.4)</f>
        <v>1441652.3236045202</v>
      </c>
      <c r="C16" s="15">
        <f ca="1">RND_PERFORMANCE_MODEL!B3*(0.9+RAND()*0.2)</f>
        <v>0.89629279999581546</v>
      </c>
      <c r="D16">
        <f t="shared" ca="1" si="0"/>
        <v>14</v>
      </c>
      <c r="R16" t="e">
        <f t="shared" ca="1" si="1"/>
        <v>#N/A</v>
      </c>
      <c r="S16" t="e">
        <f t="shared" ca="1" si="2"/>
        <v>#N/A</v>
      </c>
      <c r="T16">
        <f t="shared" ca="1" si="3"/>
        <v>14</v>
      </c>
    </row>
    <row r="17" spans="2:20" x14ac:dyDescent="0.2">
      <c r="B17" s="2">
        <f ca="1">RND_PERFORMANCE_MODEL!B2*(0.8+RAND()*0.4)</f>
        <v>1223397.9632012472</v>
      </c>
      <c r="C17" s="15">
        <f ca="1">RND_PERFORMANCE_MODEL!B3*(0.9+RAND()*0.2)</f>
        <v>0.92439866212503119</v>
      </c>
      <c r="D17">
        <f t="shared" ca="1" si="0"/>
        <v>12</v>
      </c>
      <c r="R17" t="e">
        <f t="shared" ca="1" si="1"/>
        <v>#N/A</v>
      </c>
      <c r="S17">
        <f t="shared" ca="1" si="2"/>
        <v>12</v>
      </c>
      <c r="T17" t="e">
        <f t="shared" ca="1" si="3"/>
        <v>#N/A</v>
      </c>
    </row>
    <row r="18" spans="2:20" x14ac:dyDescent="0.2">
      <c r="B18" s="2">
        <f ca="1">RND_PERFORMANCE_MODEL!B2*(0.8+RAND()*0.4)</f>
        <v>1219805.6771290421</v>
      </c>
      <c r="C18" s="15">
        <f ca="1">RND_PERFORMANCE_MODEL!B3*(0.9+RAND()*0.2)</f>
        <v>1.0001016020139453</v>
      </c>
      <c r="D18">
        <f t="shared" ca="1" si="0"/>
        <v>13</v>
      </c>
      <c r="R18">
        <f t="shared" ca="1" si="1"/>
        <v>13</v>
      </c>
      <c r="S18" t="e">
        <f t="shared" ca="1" si="2"/>
        <v>#N/A</v>
      </c>
      <c r="T18" t="e">
        <f t="shared" ca="1" si="3"/>
        <v>#N/A</v>
      </c>
    </row>
    <row r="19" spans="2:20" x14ac:dyDescent="0.2">
      <c r="B19" s="2">
        <f ca="1">RND_PERFORMANCE_MODEL!B2*(0.8+RAND()*0.4)</f>
        <v>1340127.8085070238</v>
      </c>
      <c r="C19" s="15">
        <f ca="1">RND_PERFORMANCE_MODEL!B3*(0.9+RAND()*0.2)</f>
        <v>0.90736582813742361</v>
      </c>
      <c r="D19">
        <f t="shared" ca="1" si="0"/>
        <v>13</v>
      </c>
      <c r="R19" t="e">
        <f t="shared" ca="1" si="1"/>
        <v>#N/A</v>
      </c>
      <c r="S19">
        <f t="shared" ca="1" si="2"/>
        <v>13</v>
      </c>
      <c r="T19" t="e">
        <f t="shared" ca="1" si="3"/>
        <v>#N/A</v>
      </c>
    </row>
    <row r="20" spans="2:20" x14ac:dyDescent="0.2">
      <c r="B20" s="2">
        <f ca="1">RND_PERFORMANCE_MODEL!B2*(0.8+RAND()*0.4)</f>
        <v>1491082.8635693975</v>
      </c>
      <c r="C20" s="15">
        <f ca="1">RND_PERFORMANCE_MODEL!B3*(0.9+RAND()*0.2)</f>
        <v>0.99425819259798165</v>
      </c>
      <c r="D20">
        <f t="shared" ca="1" si="0"/>
        <v>16</v>
      </c>
      <c r="R20">
        <f t="shared" ca="1" si="1"/>
        <v>16</v>
      </c>
      <c r="S20" t="e">
        <f t="shared" ca="1" si="2"/>
        <v>#N/A</v>
      </c>
      <c r="T20" t="e">
        <f t="shared" ca="1" si="3"/>
        <v>#N/A</v>
      </c>
    </row>
    <row r="21" spans="2:20" x14ac:dyDescent="0.2">
      <c r="B21" s="2">
        <f ca="1">RND_PERFORMANCE_MODEL!B2*(0.8+RAND()*0.4)</f>
        <v>1467856.541029823</v>
      </c>
      <c r="C21" s="15">
        <f ca="1">RND_PERFORMANCE_MODEL!B3*(0.9+RAND()*0.2)</f>
        <v>0.95070040893900942</v>
      </c>
      <c r="D21">
        <f t="shared" ca="1" si="0"/>
        <v>15</v>
      </c>
      <c r="R21">
        <f t="shared" ca="1" si="1"/>
        <v>15</v>
      </c>
      <c r="S21" t="e">
        <f t="shared" ca="1" si="2"/>
        <v>#N/A</v>
      </c>
      <c r="T21" t="e">
        <f t="shared" ca="1" si="3"/>
        <v>#N/A</v>
      </c>
    </row>
    <row r="22" spans="2:20" x14ac:dyDescent="0.2">
      <c r="B22" s="2">
        <f ca="1">RND_PERFORMANCE_MODEL!B2*(0.8+RAND()*0.4)</f>
        <v>1392069.4462198776</v>
      </c>
      <c r="C22" s="15">
        <f ca="1">RND_PERFORMANCE_MODEL!B3*(0.9+RAND()*0.2)</f>
        <v>0.89445903616935385</v>
      </c>
      <c r="D22">
        <f t="shared" ca="1" si="0"/>
        <v>14</v>
      </c>
      <c r="R22" t="e">
        <f t="shared" ca="1" si="1"/>
        <v>#N/A</v>
      </c>
      <c r="S22" t="e">
        <f t="shared" ca="1" si="2"/>
        <v>#N/A</v>
      </c>
      <c r="T22">
        <f t="shared" ca="1" si="3"/>
        <v>14</v>
      </c>
    </row>
    <row r="23" spans="2:20" x14ac:dyDescent="0.2">
      <c r="B23" s="2">
        <f ca="1">RND_PERFORMANCE_MODEL!B2*(0.8+RAND()*0.4)</f>
        <v>1178242.8102850993</v>
      </c>
      <c r="C23" s="15">
        <f ca="1">RND_PERFORMANCE_MODEL!B3*(0.9+RAND()*0.2)</f>
        <v>0.91349910339353702</v>
      </c>
      <c r="D23">
        <f t="shared" ca="1" si="0"/>
        <v>12</v>
      </c>
      <c r="R23" t="e">
        <f t="shared" ca="1" si="1"/>
        <v>#N/A</v>
      </c>
      <c r="S23">
        <f t="shared" ca="1" si="2"/>
        <v>12</v>
      </c>
      <c r="T23" t="e">
        <f t="shared" ca="1" si="3"/>
        <v>#N/A</v>
      </c>
    </row>
    <row r="24" spans="2:20" x14ac:dyDescent="0.2">
      <c r="B24" s="2">
        <f ca="1">RND_PERFORMANCE_MODEL!B2*(0.8+RAND()*0.4)</f>
        <v>1631502.3574035773</v>
      </c>
      <c r="C24" s="15">
        <f ca="1">RND_PERFORMANCE_MODEL!B3*(0.9+RAND()*0.2)</f>
        <v>0.85844931666248558</v>
      </c>
      <c r="D24">
        <f t="shared" ca="1" si="0"/>
        <v>15</v>
      </c>
      <c r="R24" t="e">
        <f t="shared" ca="1" si="1"/>
        <v>#N/A</v>
      </c>
      <c r="S24" t="e">
        <f t="shared" ca="1" si="2"/>
        <v>#N/A</v>
      </c>
      <c r="T24">
        <f t="shared" ca="1" si="3"/>
        <v>15</v>
      </c>
    </row>
    <row r="25" spans="2:20" x14ac:dyDescent="0.2">
      <c r="B25" s="2">
        <f ca="1">RND_PERFORMANCE_MODEL!B2*(0.8+RAND()*0.4)</f>
        <v>1287817.919949444</v>
      </c>
      <c r="C25" s="15">
        <f ca="1">RND_PERFORMANCE_MODEL!B3*(0.9+RAND()*0.2)</f>
        <v>0.94659510614491893</v>
      </c>
      <c r="D25">
        <f t="shared" ca="1" si="0"/>
        <v>13</v>
      </c>
      <c r="R25" t="e">
        <f t="shared" ca="1" si="1"/>
        <v>#N/A</v>
      </c>
      <c r="S25">
        <f t="shared" ca="1" si="2"/>
        <v>13</v>
      </c>
      <c r="T25" t="e">
        <f t="shared" ca="1" si="3"/>
        <v>#N/A</v>
      </c>
    </row>
    <row r="26" spans="2:20" x14ac:dyDescent="0.2">
      <c r="B26" s="2">
        <f ca="1">RND_PERFORMANCE_MODEL!B2*(0.8+RAND()*0.4)</f>
        <v>1664038.0928101877</v>
      </c>
      <c r="C26" s="15">
        <f ca="1">RND_PERFORMANCE_MODEL!B3*(0.9+RAND()*0.2)</f>
        <v>0.8555995866923759</v>
      </c>
      <c r="D26">
        <f t="shared" ca="1" si="0"/>
        <v>16</v>
      </c>
      <c r="R26" t="e">
        <f t="shared" ca="1" si="1"/>
        <v>#N/A</v>
      </c>
      <c r="S26" t="e">
        <f t="shared" ca="1" si="2"/>
        <v>#N/A</v>
      </c>
      <c r="T26">
        <f t="shared" ca="1" si="3"/>
        <v>16</v>
      </c>
    </row>
    <row r="27" spans="2:20" x14ac:dyDescent="0.2">
      <c r="B27" s="2">
        <f ca="1">RND_PERFORMANCE_MODEL!B2*(0.8+RAND()*0.4)</f>
        <v>1596257.1283862144</v>
      </c>
      <c r="C27" s="15">
        <f ca="1">RND_PERFORMANCE_MODEL!B3*(0.9+RAND()*0.2)</f>
        <v>0.99696704338929676</v>
      </c>
      <c r="D27">
        <f t="shared" ca="1" si="0"/>
        <v>18</v>
      </c>
      <c r="R27">
        <f t="shared" ca="1" si="1"/>
        <v>18</v>
      </c>
      <c r="S27" t="e">
        <f t="shared" ca="1" si="2"/>
        <v>#N/A</v>
      </c>
      <c r="T27" t="e">
        <f t="shared" ca="1" si="3"/>
        <v>#N/A</v>
      </c>
    </row>
    <row r="28" spans="2:20" x14ac:dyDescent="0.2">
      <c r="B28" s="2">
        <f ca="1">RND_PERFORMANCE_MODEL!B2*(0.8+RAND()*0.4)</f>
        <v>1524981.650884053</v>
      </c>
      <c r="C28" s="15">
        <f ca="1">RND_PERFORMANCE_MODEL!B3*(0.9+RAND()*0.2)</f>
        <v>0.97098834913954868</v>
      </c>
      <c r="D28">
        <f t="shared" ca="1" si="0"/>
        <v>16</v>
      </c>
      <c r="R28">
        <f t="shared" ca="1" si="1"/>
        <v>16</v>
      </c>
      <c r="S28" t="e">
        <f t="shared" ca="1" si="2"/>
        <v>#N/A</v>
      </c>
      <c r="T28" t="e">
        <f t="shared" ca="1" si="3"/>
        <v>#N/A</v>
      </c>
    </row>
    <row r="29" spans="2:20" x14ac:dyDescent="0.2">
      <c r="B29" s="2">
        <f ca="1">RND_PERFORMANCE_MODEL!B2*(0.8+RAND()*0.4)</f>
        <v>1297008.2961337024</v>
      </c>
      <c r="C29" s="15">
        <f ca="1">RND_PERFORMANCE_MODEL!B3*(0.9+RAND()*0.2)</f>
        <v>0.97019955655446199</v>
      </c>
      <c r="D29">
        <f t="shared" ca="1" si="0"/>
        <v>14</v>
      </c>
      <c r="R29">
        <f t="shared" ca="1" si="1"/>
        <v>14</v>
      </c>
      <c r="S29" t="e">
        <f t="shared" ca="1" si="2"/>
        <v>#N/A</v>
      </c>
      <c r="T29" t="e">
        <f t="shared" ca="1" si="3"/>
        <v>#N/A</v>
      </c>
    </row>
    <row r="30" spans="2:20" x14ac:dyDescent="0.2">
      <c r="B30" s="2">
        <f ca="1">RND_PERFORMANCE_MODEL!B2*(0.8+RAND()*0.4)</f>
        <v>1133776.868708764</v>
      </c>
      <c r="C30" s="15">
        <f ca="1">RND_PERFORMANCE_MODEL!B3*(0.9+RAND()*0.2)</f>
        <v>0.89037258145438303</v>
      </c>
      <c r="D30">
        <f t="shared" ca="1" si="0"/>
        <v>11</v>
      </c>
      <c r="R30" t="e">
        <f t="shared" ca="1" si="1"/>
        <v>#N/A</v>
      </c>
      <c r="S30" t="e">
        <f t="shared" ca="1" si="2"/>
        <v>#N/A</v>
      </c>
      <c r="T30">
        <f t="shared" ca="1" si="3"/>
        <v>11</v>
      </c>
    </row>
    <row r="31" spans="2:20" x14ac:dyDescent="0.2">
      <c r="B31" s="2">
        <f ca="1">RND_PERFORMANCE_MODEL!B2*(0.8+RAND()*0.4)</f>
        <v>1579848.4273990649</v>
      </c>
      <c r="C31" s="15">
        <f ca="1">RND_PERFORMANCE_MODEL!B3*(0.9+RAND()*0.2)</f>
        <v>1.000804399500703</v>
      </c>
      <c r="D31">
        <f t="shared" ca="1" si="0"/>
        <v>17</v>
      </c>
      <c r="R31">
        <f t="shared" ca="1" si="1"/>
        <v>17</v>
      </c>
      <c r="S31" t="e">
        <f t="shared" ca="1" si="2"/>
        <v>#N/A</v>
      </c>
      <c r="T31" t="e">
        <f t="shared" ca="1" si="3"/>
        <v>#N/A</v>
      </c>
    </row>
    <row r="32" spans="2:20" x14ac:dyDescent="0.2">
      <c r="B32" s="2">
        <f ca="1">RND_PERFORMANCE_MODEL!B2*(0.8+RAND()*0.4)</f>
        <v>1169486.9896100732</v>
      </c>
      <c r="C32" s="15">
        <f ca="1">RND_PERFORMANCE_MODEL!B3*(0.9+RAND()*0.2)</f>
        <v>0.96767013291849913</v>
      </c>
      <c r="D32">
        <f t="shared" ca="1" si="0"/>
        <v>12</v>
      </c>
      <c r="R32">
        <f t="shared" ca="1" si="1"/>
        <v>12</v>
      </c>
      <c r="S32" t="e">
        <f t="shared" ca="1" si="2"/>
        <v>#N/A</v>
      </c>
      <c r="T32" t="e">
        <f t="shared" ca="1" si="3"/>
        <v>#N/A</v>
      </c>
    </row>
    <row r="33" spans="2:20" x14ac:dyDescent="0.2">
      <c r="B33" s="2">
        <f ca="1">RND_PERFORMANCE_MODEL!B2*(0.8+RAND()*0.4)</f>
        <v>1656259.0195351716</v>
      </c>
      <c r="C33" s="15">
        <f ca="1">RND_PERFORMANCE_MODEL!B3*(0.9+RAND()*0.2)</f>
        <v>0.94626156355737812</v>
      </c>
      <c r="D33">
        <f t="shared" ca="1" si="0"/>
        <v>17</v>
      </c>
      <c r="R33" t="e">
        <f t="shared" ca="1" si="1"/>
        <v>#N/A</v>
      </c>
      <c r="S33">
        <f t="shared" ca="1" si="2"/>
        <v>17</v>
      </c>
      <c r="T33" t="e">
        <f t="shared" ca="1" si="3"/>
        <v>#N/A</v>
      </c>
    </row>
    <row r="34" spans="2:20" x14ac:dyDescent="0.2">
      <c r="B34" s="2">
        <f ca="1">RND_PERFORMANCE_MODEL!B2*(0.8+RAND()*0.4)</f>
        <v>1136630.0436034068</v>
      </c>
      <c r="C34" s="15">
        <f ca="1">RND_PERFORMANCE_MODEL!B3*(0.9+RAND()*0.2)</f>
        <v>0.86572247752186582</v>
      </c>
      <c r="D34">
        <f t="shared" ref="D34:D51" ca="1" si="4">ROUND((B34 /100000)*(C34*1.1),0)</f>
        <v>11</v>
      </c>
      <c r="R34" t="e">
        <f t="shared" ref="R34:R51" ca="1" si="5">IF(C34&gt;=0.95, D34, NA())</f>
        <v>#N/A</v>
      </c>
      <c r="S34" t="e">
        <f t="shared" ref="S34:S51" ca="1" si="6">IF(AND(C34&lt;0.95, C34&gt;=0.9), D34, NA())</f>
        <v>#N/A</v>
      </c>
      <c r="T34">
        <f t="shared" ref="T34:T51" ca="1" si="7">IF(C34&lt;0.9, D34, NA())</f>
        <v>11</v>
      </c>
    </row>
    <row r="35" spans="2:20" x14ac:dyDescent="0.2">
      <c r="B35" s="2">
        <f ca="1">RND_PERFORMANCE_MODEL!B2*(0.8+RAND()*0.4)</f>
        <v>1609567.8711525681</v>
      </c>
      <c r="C35" s="15">
        <f ca="1">RND_PERFORMANCE_MODEL!B3*(0.9+RAND()*0.2)</f>
        <v>0.88421298304593243</v>
      </c>
      <c r="D35">
        <f t="shared" ca="1" si="4"/>
        <v>16</v>
      </c>
      <c r="R35" t="e">
        <f t="shared" ca="1" si="5"/>
        <v>#N/A</v>
      </c>
      <c r="S35" t="e">
        <f t="shared" ca="1" si="6"/>
        <v>#N/A</v>
      </c>
      <c r="T35">
        <f t="shared" ca="1" si="7"/>
        <v>16</v>
      </c>
    </row>
    <row r="36" spans="2:20" x14ac:dyDescent="0.2">
      <c r="B36" s="2">
        <f ca="1">RND_PERFORMANCE_MODEL!B2*(0.8+RAND()*0.4)</f>
        <v>1125042.6925509509</v>
      </c>
      <c r="C36" s="15">
        <f ca="1">RND_PERFORMANCE_MODEL!B3*(0.9+RAND()*0.2)</f>
        <v>0.90293492344576165</v>
      </c>
      <c r="D36">
        <f t="shared" ca="1" si="4"/>
        <v>11</v>
      </c>
      <c r="R36" t="e">
        <f t="shared" ca="1" si="5"/>
        <v>#N/A</v>
      </c>
      <c r="S36">
        <f t="shared" ca="1" si="6"/>
        <v>11</v>
      </c>
      <c r="T36" t="e">
        <f t="shared" ca="1" si="7"/>
        <v>#N/A</v>
      </c>
    </row>
    <row r="37" spans="2:20" x14ac:dyDescent="0.2">
      <c r="B37" s="2">
        <f ca="1">RND_PERFORMANCE_MODEL!B2*(0.8+RAND()*0.4)</f>
        <v>1375208.1495170766</v>
      </c>
      <c r="C37" s="15">
        <f ca="1">RND_PERFORMANCE_MODEL!B3*(0.9+RAND()*0.2)</f>
        <v>0.88203994487877002</v>
      </c>
      <c r="D37">
        <f t="shared" ca="1" si="4"/>
        <v>13</v>
      </c>
      <c r="R37" t="e">
        <f t="shared" ca="1" si="5"/>
        <v>#N/A</v>
      </c>
      <c r="S37" t="e">
        <f t="shared" ca="1" si="6"/>
        <v>#N/A</v>
      </c>
      <c r="T37">
        <f t="shared" ca="1" si="7"/>
        <v>13</v>
      </c>
    </row>
    <row r="38" spans="2:20" x14ac:dyDescent="0.2">
      <c r="B38" s="2">
        <f ca="1">RND_PERFORMANCE_MODEL!B2*(0.8+RAND()*0.4)</f>
        <v>1591127.3650036447</v>
      </c>
      <c r="C38" s="15">
        <f ca="1">RND_PERFORMANCE_MODEL!B3*(0.9+RAND()*0.2)</f>
        <v>0.84874940203523641</v>
      </c>
      <c r="D38">
        <f t="shared" ca="1" si="4"/>
        <v>15</v>
      </c>
      <c r="R38" t="e">
        <f t="shared" ca="1" si="5"/>
        <v>#N/A</v>
      </c>
      <c r="S38" t="e">
        <f t="shared" ca="1" si="6"/>
        <v>#N/A</v>
      </c>
      <c r="T38">
        <f t="shared" ca="1" si="7"/>
        <v>15</v>
      </c>
    </row>
    <row r="39" spans="2:20" x14ac:dyDescent="0.2">
      <c r="B39" s="2">
        <f ca="1">RND_PERFORMANCE_MODEL!B2*(0.8+RAND()*0.4)</f>
        <v>1602832.9015100331</v>
      </c>
      <c r="C39" s="15">
        <f ca="1">RND_PERFORMANCE_MODEL!B3*(0.9+RAND()*0.2)</f>
        <v>0.97489356889784939</v>
      </c>
      <c r="D39">
        <f t="shared" ca="1" si="4"/>
        <v>17</v>
      </c>
      <c r="R39">
        <f t="shared" ca="1" si="5"/>
        <v>17</v>
      </c>
      <c r="S39" t="e">
        <f t="shared" ca="1" si="6"/>
        <v>#N/A</v>
      </c>
      <c r="T39" t="e">
        <f t="shared" ca="1" si="7"/>
        <v>#N/A</v>
      </c>
    </row>
    <row r="40" spans="2:20" x14ac:dyDescent="0.2">
      <c r="B40" s="2">
        <f ca="1">RND_PERFORMANCE_MODEL!B2*(0.8+RAND()*0.4)</f>
        <v>1553473.1587496803</v>
      </c>
      <c r="C40" s="15">
        <f ca="1">RND_PERFORMANCE_MODEL!B3*(0.9+RAND()*0.2)</f>
        <v>0.93972426042098156</v>
      </c>
      <c r="D40">
        <f t="shared" ca="1" si="4"/>
        <v>16</v>
      </c>
      <c r="R40" t="e">
        <f t="shared" ca="1" si="5"/>
        <v>#N/A</v>
      </c>
      <c r="S40">
        <f t="shared" ca="1" si="6"/>
        <v>16</v>
      </c>
      <c r="T40" t="e">
        <f t="shared" ca="1" si="7"/>
        <v>#N/A</v>
      </c>
    </row>
    <row r="41" spans="2:20" x14ac:dyDescent="0.2">
      <c r="B41" s="2">
        <f ca="1">RND_PERFORMANCE_MODEL!B2*(0.8+RAND()*0.4)</f>
        <v>1251749.8072492867</v>
      </c>
      <c r="C41" s="15">
        <f ca="1">RND_PERFORMANCE_MODEL!B3*(0.9+RAND()*0.2)</f>
        <v>0.88388792819690842</v>
      </c>
      <c r="D41">
        <f t="shared" ca="1" si="4"/>
        <v>12</v>
      </c>
      <c r="R41" t="e">
        <f t="shared" ca="1" si="5"/>
        <v>#N/A</v>
      </c>
      <c r="S41" t="e">
        <f t="shared" ca="1" si="6"/>
        <v>#N/A</v>
      </c>
      <c r="T41">
        <f t="shared" ca="1" si="7"/>
        <v>12</v>
      </c>
    </row>
    <row r="42" spans="2:20" x14ac:dyDescent="0.2">
      <c r="B42" s="2">
        <f ca="1">RND_PERFORMANCE_MODEL!B2*(0.8+RAND()*0.4)</f>
        <v>1172822.9097753675</v>
      </c>
      <c r="C42" s="15">
        <f ca="1">RND_PERFORMANCE_MODEL!B3*(0.9+RAND()*0.2)</f>
        <v>0.95550440524151636</v>
      </c>
      <c r="D42">
        <f t="shared" ca="1" si="4"/>
        <v>12</v>
      </c>
      <c r="R42">
        <f t="shared" ca="1" si="5"/>
        <v>12</v>
      </c>
      <c r="S42" t="e">
        <f t="shared" ca="1" si="6"/>
        <v>#N/A</v>
      </c>
      <c r="T42" t="e">
        <f t="shared" ca="1" si="7"/>
        <v>#N/A</v>
      </c>
    </row>
    <row r="43" spans="2:20" x14ac:dyDescent="0.2">
      <c r="B43" s="2">
        <f ca="1">RND_PERFORMANCE_MODEL!B2*(0.8+RAND()*0.4)</f>
        <v>1346984.4516221981</v>
      </c>
      <c r="C43" s="15">
        <f ca="1">RND_PERFORMANCE_MODEL!B3*(0.9+RAND()*0.2)</f>
        <v>0.8371158989829901</v>
      </c>
      <c r="D43">
        <f t="shared" ca="1" si="4"/>
        <v>12</v>
      </c>
      <c r="R43" t="e">
        <f t="shared" ca="1" si="5"/>
        <v>#N/A</v>
      </c>
      <c r="S43" t="e">
        <f t="shared" ca="1" si="6"/>
        <v>#N/A</v>
      </c>
      <c r="T43">
        <f t="shared" ca="1" si="7"/>
        <v>12</v>
      </c>
    </row>
    <row r="44" spans="2:20" x14ac:dyDescent="0.2">
      <c r="B44" s="2">
        <f ca="1">RND_PERFORMANCE_MODEL!B2*(0.8+RAND()*0.4)</f>
        <v>1443608.5897559074</v>
      </c>
      <c r="C44" s="15">
        <f ca="1">RND_PERFORMANCE_MODEL!B3*(0.9+RAND()*0.2)</f>
        <v>0.95499530350070039</v>
      </c>
      <c r="D44">
        <f t="shared" ca="1" si="4"/>
        <v>15</v>
      </c>
      <c r="R44">
        <f t="shared" ca="1" si="5"/>
        <v>15</v>
      </c>
      <c r="S44" t="e">
        <f t="shared" ca="1" si="6"/>
        <v>#N/A</v>
      </c>
      <c r="T44" t="e">
        <f t="shared" ca="1" si="7"/>
        <v>#N/A</v>
      </c>
    </row>
    <row r="45" spans="2:20" x14ac:dyDescent="0.2">
      <c r="B45" s="2">
        <f ca="1">RND_PERFORMANCE_MODEL!B2*(0.8+RAND()*0.4)</f>
        <v>1627430.6501029036</v>
      </c>
      <c r="C45" s="15">
        <f ca="1">RND_PERFORMANCE_MODEL!B3*(0.9+RAND()*0.2)</f>
        <v>0.92557738367984466</v>
      </c>
      <c r="D45">
        <f t="shared" ca="1" si="4"/>
        <v>17</v>
      </c>
      <c r="R45" t="e">
        <f t="shared" ca="1" si="5"/>
        <v>#N/A</v>
      </c>
      <c r="S45">
        <f t="shared" ca="1" si="6"/>
        <v>17</v>
      </c>
      <c r="T45" t="e">
        <f t="shared" ca="1" si="7"/>
        <v>#N/A</v>
      </c>
    </row>
    <row r="46" spans="2:20" x14ac:dyDescent="0.2">
      <c r="B46" s="2">
        <f ca="1">RND_PERFORMANCE_MODEL!B2*(0.8+RAND()*0.4)</f>
        <v>1542618.9697286354</v>
      </c>
      <c r="C46" s="15">
        <f ca="1">RND_PERFORMANCE_MODEL!B3*(0.9+RAND()*0.2)</f>
        <v>0.97335608343125357</v>
      </c>
      <c r="D46">
        <f t="shared" ca="1" si="4"/>
        <v>17</v>
      </c>
      <c r="R46">
        <f t="shared" ca="1" si="5"/>
        <v>17</v>
      </c>
      <c r="S46" t="e">
        <f t="shared" ca="1" si="6"/>
        <v>#N/A</v>
      </c>
      <c r="T46" t="e">
        <f t="shared" ca="1" si="7"/>
        <v>#N/A</v>
      </c>
    </row>
    <row r="47" spans="2:20" x14ac:dyDescent="0.2">
      <c r="B47" s="2">
        <f ca="1">RND_PERFORMANCE_MODEL!B2*(0.8+RAND()*0.4)</f>
        <v>1467715.6557766336</v>
      </c>
      <c r="C47" s="15">
        <f ca="1">RND_PERFORMANCE_MODEL!B3*(0.9+RAND()*0.2)</f>
        <v>0.92040293704235188</v>
      </c>
      <c r="D47">
        <f t="shared" ca="1" si="4"/>
        <v>15</v>
      </c>
      <c r="R47" t="e">
        <f t="shared" ca="1" si="5"/>
        <v>#N/A</v>
      </c>
      <c r="S47">
        <f t="shared" ca="1" si="6"/>
        <v>15</v>
      </c>
      <c r="T47" t="e">
        <f t="shared" ca="1" si="7"/>
        <v>#N/A</v>
      </c>
    </row>
    <row r="48" spans="2:20" x14ac:dyDescent="0.2">
      <c r="B48" s="2">
        <f ca="1">RND_PERFORMANCE_MODEL!B2*(0.8+RAND()*0.4)</f>
        <v>1406636.8023901866</v>
      </c>
      <c r="C48" s="15">
        <f ca="1">RND_PERFORMANCE_MODEL!B3*(0.9+RAND()*0.2)</f>
        <v>0.9293629428683452</v>
      </c>
      <c r="D48">
        <f t="shared" ca="1" si="4"/>
        <v>14</v>
      </c>
      <c r="R48" t="e">
        <f t="shared" ca="1" si="5"/>
        <v>#N/A</v>
      </c>
      <c r="S48">
        <f t="shared" ca="1" si="6"/>
        <v>14</v>
      </c>
      <c r="T48" t="e">
        <f t="shared" ca="1" si="7"/>
        <v>#N/A</v>
      </c>
    </row>
    <row r="49" spans="2:20" x14ac:dyDescent="0.2">
      <c r="B49" s="2">
        <f ca="1">RND_PERFORMANCE_MODEL!B2*(0.8+RAND()*0.4)</f>
        <v>1198875.7524373957</v>
      </c>
      <c r="C49" s="15">
        <f ca="1">RND_PERFORMANCE_MODEL!B3*(0.9+RAND()*0.2)</f>
        <v>0.99964068645213755</v>
      </c>
      <c r="D49">
        <f t="shared" ca="1" si="4"/>
        <v>13</v>
      </c>
      <c r="R49">
        <f t="shared" ca="1" si="5"/>
        <v>13</v>
      </c>
      <c r="S49" t="e">
        <f t="shared" ca="1" si="6"/>
        <v>#N/A</v>
      </c>
      <c r="T49" t="e">
        <f t="shared" ca="1" si="7"/>
        <v>#N/A</v>
      </c>
    </row>
    <row r="50" spans="2:20" x14ac:dyDescent="0.2">
      <c r="B50" s="2">
        <f ca="1">RND_PERFORMANCE_MODEL!B2*(0.8+RAND()*0.4)</f>
        <v>1214686.6299200321</v>
      </c>
      <c r="C50" s="15">
        <f ca="1">RND_PERFORMANCE_MODEL!B3*(0.9+RAND()*0.2)</f>
        <v>0.94706853955953163</v>
      </c>
      <c r="D50">
        <f t="shared" ca="1" si="4"/>
        <v>13</v>
      </c>
      <c r="R50" t="e">
        <f t="shared" ca="1" si="5"/>
        <v>#N/A</v>
      </c>
      <c r="S50">
        <f t="shared" ca="1" si="6"/>
        <v>13</v>
      </c>
      <c r="T50" t="e">
        <f t="shared" ca="1" si="7"/>
        <v>#N/A</v>
      </c>
    </row>
    <row r="51" spans="2:20" x14ac:dyDescent="0.2">
      <c r="B51" s="2">
        <f ca="1">RND_PERFORMANCE_MODEL!B2*(0.8+RAND()*0.4)</f>
        <v>1676391.1000812629</v>
      </c>
      <c r="C51" s="15">
        <f ca="1">RND_PERFORMANCE_MODEL!B3*(0.9+RAND()*0.2)</f>
        <v>0.89269743891558906</v>
      </c>
      <c r="D51">
        <f t="shared" ca="1" si="4"/>
        <v>16</v>
      </c>
      <c r="R51" t="e">
        <f t="shared" ca="1" si="5"/>
        <v>#N/A</v>
      </c>
      <c r="S51" t="e">
        <f t="shared" ca="1" si="6"/>
        <v>#N/A</v>
      </c>
      <c r="T51">
        <f t="shared" ca="1" si="7"/>
        <v>16</v>
      </c>
    </row>
  </sheetData>
  <sortState xmlns:xlrd2="http://schemas.microsoft.com/office/spreadsheetml/2017/richdata2" ref="B2:D54">
    <sortCondition descending="1" ref="B2:B54"/>
  </sortState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8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24.33203125" style="1" bestFit="1" customWidth="1"/>
    <col min="2" max="2" width="12.6640625" bestFit="1" customWidth="1"/>
    <col min="3" max="3" width="15.33203125" bestFit="1" customWidth="1"/>
  </cols>
  <sheetData>
    <row r="1" spans="1:3" x14ac:dyDescent="0.2">
      <c r="A1" s="7" t="s">
        <v>31</v>
      </c>
      <c r="B1" s="7" t="s">
        <v>24</v>
      </c>
      <c r="C1" s="7" t="s">
        <v>32</v>
      </c>
    </row>
    <row r="2" spans="1:3" x14ac:dyDescent="0.2">
      <c r="A2" s="1" t="s">
        <v>62</v>
      </c>
      <c r="B2" s="26">
        <f>OPERATIONAL_SIMULATOR!B7 + RND_PERFORMANCE_MODEL!B2 + OPERATIONAL_SIMULATOR!B8</f>
        <v>11175000</v>
      </c>
      <c r="C2" t="s">
        <v>49</v>
      </c>
    </row>
    <row r="3" spans="1:3" x14ac:dyDescent="0.2">
      <c r="A3" s="1" t="s">
        <v>33</v>
      </c>
      <c r="B3" s="2">
        <f>OPERATIONAL_SIMULATOR!B7 + (MARKET_BENCHMARK!C7 * (1 - RND_PERFORMANCE_MODEL!B4))</f>
        <v>8860000</v>
      </c>
      <c r="C3" t="s">
        <v>48</v>
      </c>
    </row>
    <row r="4" spans="1:3" x14ac:dyDescent="0.2">
      <c r="A4" s="1" t="s">
        <v>29</v>
      </c>
      <c r="B4" s="20">
        <f>RND_PERFORMANCE_MODEL!B2</f>
        <v>1400000</v>
      </c>
      <c r="C4" t="s">
        <v>47</v>
      </c>
    </row>
    <row r="5" spans="1:3" x14ac:dyDescent="0.2">
      <c r="A5" s="1" t="s">
        <v>43</v>
      </c>
      <c r="B5" s="21">
        <f>RND_PERFORMANCE_MODEL!B6</f>
        <v>14</v>
      </c>
      <c r="C5" t="s">
        <v>34</v>
      </c>
    </row>
    <row r="6" spans="1:3" x14ac:dyDescent="0.2">
      <c r="A6" s="1" t="s">
        <v>45</v>
      </c>
      <c r="B6">
        <v>17</v>
      </c>
      <c r="C6" s="13" t="s">
        <v>64</v>
      </c>
    </row>
    <row r="7" spans="1:3" x14ac:dyDescent="0.2">
      <c r="A7" s="1" t="s">
        <v>44</v>
      </c>
      <c r="B7">
        <f>(B5*B6)</f>
        <v>238</v>
      </c>
      <c r="C7" t="s">
        <v>10</v>
      </c>
    </row>
    <row r="8" spans="1:3" x14ac:dyDescent="0.2">
      <c r="A8" s="1" t="s">
        <v>35</v>
      </c>
      <c r="B8" s="11">
        <f>((B5 * 17) / B2) * 1000000</f>
        <v>21.297539149888141</v>
      </c>
      <c r="C8" t="s">
        <v>46</v>
      </c>
    </row>
  </sheetData>
  <hyperlinks>
    <hyperlink ref="B4" location="RND_PERFORMANCE_MODEL!B2" display="RND_PERFORMANCE_MODEL!B2" xr:uid="{6C8FC3A9-C1E7-E745-B692-5633CB806D3E}"/>
    <hyperlink ref="B5" location="RND_PERFORMANCE_MODEL!B6" display="RND_PERFORMANCE_MODEL!B6" xr:uid="{C091D48C-83D8-BB44-869F-46DFB988773C}"/>
    <hyperlink ref="C6" r:id="rId1" xr:uid="{815721C7-378A-6D4E-AE2F-7EB5E44C35B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MARKET_BENCHMARK</vt:lpstr>
      <vt:lpstr>OPERATIONAL_SIMULATOR</vt:lpstr>
      <vt:lpstr>RND_PERFORMANCE_MODEL</vt:lpstr>
      <vt:lpstr>HEATMAP</vt:lpstr>
      <vt:lpstr>MONTE_CARLO_SIM</vt:lpstr>
      <vt:lpstr>EXECUTIVE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MOLINARI</cp:lastModifiedBy>
  <dcterms:created xsi:type="dcterms:W3CDTF">2026-03-04T14:24:14Z</dcterms:created>
  <dcterms:modified xsi:type="dcterms:W3CDTF">2026-03-14T21:02:29Z</dcterms:modified>
</cp:coreProperties>
</file>