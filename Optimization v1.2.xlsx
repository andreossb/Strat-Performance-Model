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codeName="ThisWorkbook"/>
  <mc:AlternateContent xmlns:mc="http://schemas.openxmlformats.org/markup-compatibility/2006">
    <mc:Choice Requires="x15">
      <x15ac:absPath xmlns:x15ac="http://schemas.microsoft.com/office/spreadsheetml/2010/11/ac" url="/Users/andreasss/Desktop/Tutto/"/>
    </mc:Choice>
  </mc:AlternateContent>
  <xr:revisionPtr revIDLastSave="0" documentId="13_ncr:1_{5E41C638-7974-E34B-A308-E4B9F2D33DD5}" xr6:coauthVersionLast="47" xr6:coauthVersionMax="47" xr10:uidLastSave="{00000000-0000-0000-0000-000000000000}"/>
  <bookViews>
    <workbookView xWindow="0" yWindow="680" windowWidth="30240" windowHeight="17740" activeTab="4" xr2:uid="{00000000-000D-0000-FFFF-FFFF00000000}"/>
  </bookViews>
  <sheets>
    <sheet name="MARKET_BENCHMARK" sheetId="1" r:id="rId1"/>
    <sheet name="OPERATIONAL_SIMULATOR" sheetId="2" r:id="rId2"/>
    <sheet name="RND_PERFORMANCE_MODEL" sheetId="3" r:id="rId3"/>
    <sheet name="HEATMAP" sheetId="7" r:id="rId4"/>
    <sheet name="MONTE_CARLO_SIM" sheetId="4" r:id="rId5"/>
    <sheet name="EXECUTIVE" sheetId="5" r:id="rId6"/>
  </sheets>
  <definedNames>
    <definedName name="_xlnm._FilterDatabase" localSheetId="4" hidden="1">MONTE_CARLO_SIM!$D$1:$D$53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" l="1"/>
  <c r="B7" i="2"/>
  <c r="F8" i="7" l="1"/>
  <c r="B6" i="2"/>
  <c r="C5" i="7"/>
  <c r="B4" i="7"/>
  <c r="C4" i="7"/>
  <c r="D4" i="7"/>
  <c r="E4" i="7"/>
  <c r="F4" i="7"/>
  <c r="D5" i="7"/>
  <c r="E5" i="7"/>
  <c r="F5" i="7"/>
  <c r="C6" i="7"/>
  <c r="D6" i="7"/>
  <c r="E6" i="7"/>
  <c r="F6" i="7"/>
  <c r="C7" i="7"/>
  <c r="D7" i="7"/>
  <c r="E7" i="7"/>
  <c r="F7" i="7"/>
  <c r="C8" i="7"/>
  <c r="D8" i="7"/>
  <c r="E8" i="7"/>
  <c r="B5" i="7"/>
  <c r="B6" i="7"/>
  <c r="B7" i="7"/>
  <c r="B8" i="7"/>
  <c r="B8" i="3"/>
  <c r="C8" i="1" s="1"/>
  <c r="B4" i="4"/>
  <c r="B2" i="4"/>
  <c r="C2" i="4"/>
  <c r="B3" i="4"/>
  <c r="C3" i="4"/>
  <c r="C4" i="4"/>
  <c r="B5" i="4"/>
  <c r="C5" i="4"/>
  <c r="B6" i="4"/>
  <c r="C6" i="4"/>
  <c r="B7" i="4"/>
  <c r="C7" i="4"/>
  <c r="B8" i="4"/>
  <c r="C8" i="4"/>
  <c r="B9" i="4"/>
  <c r="C9" i="4"/>
  <c r="B10" i="4"/>
  <c r="C10" i="4"/>
  <c r="B11" i="4"/>
  <c r="C11" i="4"/>
  <c r="B12" i="4"/>
  <c r="C12" i="4"/>
  <c r="B13" i="4"/>
  <c r="C13" i="4"/>
  <c r="B14" i="4"/>
  <c r="C14" i="4"/>
  <c r="B15" i="4"/>
  <c r="C15" i="4"/>
  <c r="B16" i="4"/>
  <c r="C16" i="4"/>
  <c r="B17" i="4"/>
  <c r="C17" i="4"/>
  <c r="B18" i="4"/>
  <c r="C18" i="4"/>
  <c r="B19" i="4"/>
  <c r="C19" i="4"/>
  <c r="B20" i="4"/>
  <c r="C20" i="4"/>
  <c r="B21" i="4"/>
  <c r="C21" i="4"/>
  <c r="B22" i="4"/>
  <c r="C22" i="4"/>
  <c r="B23" i="4"/>
  <c r="C23" i="4"/>
  <c r="B24" i="4"/>
  <c r="C24" i="4"/>
  <c r="B25" i="4"/>
  <c r="C25" i="4"/>
  <c r="B26" i="4"/>
  <c r="C26" i="4"/>
  <c r="B27" i="4"/>
  <c r="C27" i="4"/>
  <c r="B28" i="4"/>
  <c r="C28" i="4"/>
  <c r="B29" i="4"/>
  <c r="C29" i="4"/>
  <c r="B30" i="4"/>
  <c r="C30" i="4"/>
  <c r="B31" i="4"/>
  <c r="C31" i="4"/>
  <c r="B32" i="4"/>
  <c r="C32" i="4"/>
  <c r="B33" i="4"/>
  <c r="C33" i="4"/>
  <c r="B34" i="4"/>
  <c r="C34" i="4"/>
  <c r="B35" i="4"/>
  <c r="C35" i="4"/>
  <c r="B36" i="4"/>
  <c r="C36" i="4"/>
  <c r="B37" i="4"/>
  <c r="C37" i="4"/>
  <c r="B38" i="4"/>
  <c r="C38" i="4"/>
  <c r="B39" i="4"/>
  <c r="C39" i="4"/>
  <c r="B40" i="4"/>
  <c r="C40" i="4"/>
  <c r="B41" i="4"/>
  <c r="C41" i="4"/>
  <c r="B42" i="4"/>
  <c r="C42" i="4"/>
  <c r="B43" i="4"/>
  <c r="C43" i="4"/>
  <c r="B44" i="4"/>
  <c r="C44" i="4"/>
  <c r="B45" i="4"/>
  <c r="C45" i="4"/>
  <c r="B46" i="4"/>
  <c r="C46" i="4"/>
  <c r="B47" i="4"/>
  <c r="C47" i="4"/>
  <c r="B48" i="4"/>
  <c r="C48" i="4"/>
  <c r="B49" i="4"/>
  <c r="C49" i="4"/>
  <c r="B50" i="4"/>
  <c r="C50" i="4"/>
  <c r="B51" i="4"/>
  <c r="C51" i="4"/>
  <c r="B3" i="5"/>
  <c r="B6" i="3"/>
  <c r="B5" i="5" s="1"/>
  <c r="B7" i="5" s="1"/>
  <c r="B5" i="3"/>
  <c r="B4" i="5"/>
  <c r="B4" i="2"/>
  <c r="C12" i="1" l="1"/>
  <c r="B8" i="2"/>
  <c r="B2" i="5" s="1"/>
  <c r="B8" i="5" s="1"/>
  <c r="D16" i="4"/>
  <c r="R16" i="4" s="1"/>
  <c r="D50" i="4"/>
  <c r="S50" i="4" s="1"/>
  <c r="D42" i="4"/>
  <c r="R42" i="4" s="1"/>
  <c r="D34" i="4"/>
  <c r="T34" i="4" s="1"/>
  <c r="D26" i="4"/>
  <c r="T26" i="4" s="1"/>
  <c r="D18" i="4"/>
  <c r="R18" i="4" s="1"/>
  <c r="D10" i="4"/>
  <c r="R10" i="4" s="1"/>
  <c r="D49" i="4"/>
  <c r="S49" i="4" s="1"/>
  <c r="D45" i="4"/>
  <c r="T45" i="4" s="1"/>
  <c r="D41" i="4"/>
  <c r="S41" i="4" s="1"/>
  <c r="D37" i="4"/>
  <c r="R37" i="4" s="1"/>
  <c r="D33" i="4"/>
  <c r="T33" i="4" s="1"/>
  <c r="D29" i="4"/>
  <c r="S29" i="4" s="1"/>
  <c r="D25" i="4"/>
  <c r="T25" i="4" s="1"/>
  <c r="D51" i="4"/>
  <c r="S51" i="4" s="1"/>
  <c r="D43" i="4"/>
  <c r="T43" i="4" s="1"/>
  <c r="D35" i="4"/>
  <c r="T35" i="4" s="1"/>
  <c r="D19" i="4"/>
  <c r="T19" i="4" s="1"/>
  <c r="D11" i="4"/>
  <c r="S11" i="4" s="1"/>
  <c r="D3" i="4"/>
  <c r="T3" i="4" s="1"/>
  <c r="D44" i="4"/>
  <c r="T44" i="4" s="1"/>
  <c r="D27" i="4"/>
  <c r="R27" i="4" s="1"/>
  <c r="D12" i="4"/>
  <c r="T12" i="4" s="1"/>
  <c r="D48" i="4"/>
  <c r="S48" i="4" s="1"/>
  <c r="D40" i="4"/>
  <c r="D36" i="4"/>
  <c r="T36" i="4" s="1"/>
  <c r="D32" i="4"/>
  <c r="D28" i="4"/>
  <c r="T28" i="4" s="1"/>
  <c r="D24" i="4"/>
  <c r="T24" i="4" s="1"/>
  <c r="D20" i="4"/>
  <c r="T20" i="4" s="1"/>
  <c r="D4" i="4"/>
  <c r="R4" i="4" s="1"/>
  <c r="D21" i="4"/>
  <c r="R21" i="4" s="1"/>
  <c r="D17" i="4"/>
  <c r="T17" i="4" s="1"/>
  <c r="D13" i="4"/>
  <c r="R13" i="4" s="1"/>
  <c r="D9" i="4"/>
  <c r="S9" i="4" s="1"/>
  <c r="D5" i="4"/>
  <c r="R5" i="4" s="1"/>
  <c r="D15" i="4"/>
  <c r="S15" i="4" s="1"/>
  <c r="D46" i="4"/>
  <c r="R46" i="4" s="1"/>
  <c r="D39" i="4"/>
  <c r="T39" i="4" s="1"/>
  <c r="D14" i="4"/>
  <c r="T14" i="4" s="1"/>
  <c r="D7" i="4"/>
  <c r="T7" i="4" s="1"/>
  <c r="D38" i="4"/>
  <c r="R38" i="4" s="1"/>
  <c r="D6" i="4"/>
  <c r="R6" i="4" s="1"/>
  <c r="D2" i="4"/>
  <c r="R2" i="4" s="1"/>
  <c r="D8" i="4"/>
  <c r="S8" i="4" s="1"/>
  <c r="D47" i="4"/>
  <c r="T47" i="4" s="1"/>
  <c r="D22" i="4"/>
  <c r="S22" i="4" s="1"/>
  <c r="D31" i="4"/>
  <c r="R31" i="4" s="1"/>
  <c r="D30" i="4"/>
  <c r="R30" i="4" s="1"/>
  <c r="D23" i="4"/>
  <c r="S23" i="4" s="1"/>
  <c r="B9" i="3"/>
  <c r="S45" i="4" l="1"/>
  <c r="S42" i="4"/>
  <c r="R44" i="4"/>
  <c r="S33" i="4"/>
  <c r="R3" i="4"/>
  <c r="S20" i="4"/>
  <c r="R7" i="4"/>
  <c r="S37" i="4"/>
  <c r="R49" i="4"/>
  <c r="R23" i="4"/>
  <c r="T41" i="4"/>
  <c r="S4" i="4"/>
  <c r="R14" i="4"/>
  <c r="S12" i="4"/>
  <c r="R11" i="4"/>
  <c r="R24" i="4"/>
  <c r="S38" i="4"/>
  <c r="S35" i="4"/>
  <c r="S30" i="4"/>
  <c r="S36" i="4"/>
  <c r="R15" i="4"/>
  <c r="S19" i="4"/>
  <c r="S5" i="4"/>
  <c r="S31" i="4"/>
  <c r="R47" i="4"/>
  <c r="S10" i="4"/>
  <c r="T6" i="4"/>
  <c r="R19" i="4"/>
  <c r="T51" i="4"/>
  <c r="R43" i="4"/>
  <c r="S27" i="4"/>
  <c r="R29" i="4"/>
  <c r="R36" i="4"/>
  <c r="S14" i="4"/>
  <c r="T46" i="4"/>
  <c r="R20" i="4"/>
  <c r="S7" i="4"/>
  <c r="S17" i="4"/>
  <c r="R48" i="4"/>
  <c r="S3" i="4"/>
  <c r="S6" i="4"/>
  <c r="R9" i="4"/>
  <c r="T37" i="4"/>
  <c r="R41" i="4"/>
  <c r="S25" i="4"/>
  <c r="S43" i="4"/>
  <c r="R51" i="4"/>
  <c r="R22" i="4"/>
  <c r="T8" i="4"/>
  <c r="R8" i="4"/>
  <c r="T15" i="4"/>
  <c r="R26" i="4"/>
  <c r="T5" i="4"/>
  <c r="R17" i="4"/>
  <c r="R12" i="4"/>
  <c r="R34" i="4"/>
  <c r="R25" i="4"/>
  <c r="R28" i="4"/>
  <c r="R33" i="4"/>
  <c r="S46" i="4"/>
  <c r="R45" i="4"/>
  <c r="S47" i="4"/>
  <c r="S2" i="4"/>
  <c r="R50" i="4"/>
  <c r="S40" i="4"/>
  <c r="R40" i="4"/>
  <c r="T11" i="4"/>
  <c r="S34" i="4"/>
  <c r="R35" i="4"/>
  <c r="T32" i="4"/>
  <c r="R32" i="4"/>
  <c r="S24" i="4"/>
  <c r="R39" i="4"/>
  <c r="S28" i="4"/>
  <c r="S32" i="4"/>
  <c r="T48" i="4"/>
  <c r="T31" i="4"/>
  <c r="T9" i="4"/>
  <c r="S26" i="4"/>
  <c r="T18" i="4"/>
  <c r="S18" i="4"/>
  <c r="S39" i="4"/>
  <c r="S16" i="4"/>
  <c r="T13" i="4"/>
  <c r="S13" i="4"/>
  <c r="T10" i="4"/>
  <c r="T2" i="4"/>
  <c r="T21" i="4"/>
  <c r="S21" i="4"/>
  <c r="S44" i="4"/>
  <c r="T23" i="4"/>
  <c r="T42" i="4"/>
  <c r="T4" i="4"/>
  <c r="T27" i="4"/>
  <c r="T49" i="4"/>
  <c r="T50" i="4"/>
  <c r="T40" i="4"/>
  <c r="T38" i="4"/>
  <c r="T30" i="4"/>
  <c r="T16" i="4"/>
  <c r="T29" i="4"/>
  <c r="T22" i="4"/>
</calcChain>
</file>

<file path=xl/sharedStrings.xml><?xml version="1.0" encoding="utf-8"?>
<sst xmlns="http://schemas.openxmlformats.org/spreadsheetml/2006/main" count="101" uniqueCount="82">
  <si>
    <t>Chassis</t>
  </si>
  <si>
    <t>High</t>
  </si>
  <si>
    <t>Medium</t>
  </si>
  <si>
    <t>Engine</t>
  </si>
  <si>
    <t>HPD / Chevrolet</t>
  </si>
  <si>
    <t>Tires</t>
  </si>
  <si>
    <t>Personnel</t>
  </si>
  <si>
    <t>Industry Benchmark</t>
  </si>
  <si>
    <t>Estimate</t>
  </si>
  <si>
    <t>Logistics</t>
  </si>
  <si>
    <t>Total Season Distance (km)</t>
  </si>
  <si>
    <t>Road + Oval calendar</t>
  </si>
  <si>
    <t>Fuel Cost per km (USD)</t>
  </si>
  <si>
    <t>Variable Logistics Cost</t>
  </si>
  <si>
    <t>Distance-based model</t>
  </si>
  <si>
    <t>Risk Level</t>
  </si>
  <si>
    <t>Event-based risk profile</t>
  </si>
  <si>
    <t>Crash probability matrix</t>
  </si>
  <si>
    <t>Contingency Fund</t>
  </si>
  <si>
    <t>R&amp;D Spend (USD)</t>
  </si>
  <si>
    <t>Reliability Index (0-1)</t>
  </si>
  <si>
    <t>Adjusted Ops Cost</t>
  </si>
  <si>
    <t>R&amp;D Spend</t>
  </si>
  <si>
    <t>Total Ops Cost</t>
  </si>
  <si>
    <t>Mean outcome</t>
  </si>
  <si>
    <t>Performance-per-Dollar (PPD)</t>
  </si>
  <si>
    <t>Low</t>
  </si>
  <si>
    <t>Contingency (%)</t>
  </si>
  <si>
    <t>AI Predictive Savings (%)</t>
  </si>
  <si>
    <t>Crew</t>
  </si>
  <si>
    <t>Historical DNFs, center for random sim</t>
  </si>
  <si>
    <t>Dallara IR-18</t>
  </si>
  <si>
    <t>"Risk Tax" paid per km (amount lost)</t>
  </si>
  <si>
    <t>Expected Points per race</t>
  </si>
  <si>
    <t>Expected Points (total)</t>
  </si>
  <si>
    <t>Number of Races</t>
  </si>
  <si>
    <t>points/$1M spent</t>
  </si>
  <si>
    <t>Investment</t>
  </si>
  <si>
    <t>Base + contingency</t>
  </si>
  <si>
    <t>Seasonal budget</t>
  </si>
  <si>
    <t>Avg transport and fuel</t>
  </si>
  <si>
    <t>Expected Points Per Race</t>
  </si>
  <si>
    <t>Savings because of AI</t>
  </si>
  <si>
    <t>Adjusted Logistics Costs</t>
  </si>
  <si>
    <t>AI contribution</t>
  </si>
  <si>
    <t>(Budget * Contingency)</t>
  </si>
  <si>
    <t>Historical Data</t>
  </si>
  <si>
    <t>Internal link</t>
  </si>
  <si>
    <t>External link</t>
  </si>
  <si>
    <t>Investment-to-performance</t>
  </si>
  <si>
    <t>What do colors mean?</t>
  </si>
  <si>
    <t>Total Budget</t>
  </si>
  <si>
    <t>Typical Base Budget</t>
  </si>
  <si>
    <t>Schedule</t>
  </si>
  <si>
    <t>Base Budget</t>
  </si>
  <si>
    <t>Engine Lease (Season)</t>
  </si>
  <si>
    <t>Updates</t>
  </si>
  <si>
    <t>Firestone</t>
  </si>
  <si>
    <t>Tires Lease (259/280 sets)</t>
  </si>
  <si>
    <t>Emergency Shipping</t>
  </si>
  <si>
    <t>Core Costs</t>
  </si>
  <si>
    <t>Op. Overhead</t>
  </si>
  <si>
    <t>Continous R&amp;D</t>
  </si>
  <si>
    <t>McKinsey analysis</t>
  </si>
  <si>
    <t>Autoweek 2012</t>
  </si>
  <si>
    <t>ex. Aero + simulation + testing</t>
  </si>
  <si>
    <t>CATEGORY</t>
  </si>
  <si>
    <t>DESCRIPTION</t>
  </si>
  <si>
    <t>COST (USD)</t>
  </si>
  <si>
    <t>INFOS</t>
  </si>
  <si>
    <t>COST</t>
  </si>
  <si>
    <t>NOTES</t>
  </si>
  <si>
    <t>INPUT / FORMULA</t>
  </si>
  <si>
    <t>PARAMETER</t>
  </si>
  <si>
    <t>VALUE</t>
  </si>
  <si>
    <t>CHAMPIONSHIP PROBABILITY</t>
  </si>
  <si>
    <t>Budget / R&amp;D</t>
  </si>
  <si>
    <t>R&amp;D SCENARIO</t>
  </si>
  <si>
    <t>RELIABILITY*</t>
  </si>
  <si>
    <t>POINTS OUTCOME</t>
  </si>
  <si>
    <t>METRIC</t>
  </si>
  <si>
    <t>INTERPRETATION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</si>
</sst>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5" formatCode="&quot;$&quot;#,##0_);\(&quot;$&quot;#,##0\)"/>
    <numFmt numFmtId="44" formatCode="_(&quot;$&quot;* #,##0.00_);_(&quot;$&quot;* \(#,##0.00\);_(&quot;$&quot;* &quot;-&quot;??_);_(@_)"/>
    <numFmt numFmtId="164" formatCode="&quot;$&quot;#,##0.00"/>
    <numFmt numFmtId="165" formatCode="&quot;$&quot;#,##0.000"/>
    <numFmt numFmtId="166" formatCode="0.000"/>
    <numFmt numFmtId="167" formatCode="&quot;$&quot;0.00,,&quot;M&quot;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3" tint="0.39997558519241921"/>
      <name val="Calibri"/>
      <family val="2"/>
      <scheme val="minor"/>
    </font>
    <font>
      <u/>
      <sz val="11"/>
      <color rgb="FF00B05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70C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/>
      <top/>
      <bottom style="thin">
        <color theme="3"/>
      </bottom>
      <diagonal/>
    </border>
    <border>
      <left/>
      <right style="thin">
        <color theme="3"/>
      </right>
      <top/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44" fontId="8" fillId="0" borderId="0" applyFont="0" applyFill="0" applyBorder="0" applyAlignment="0" applyProtection="0"/>
  </cellStyleXfs>
  <cellXfs count="60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0" borderId="0" xfId="0" applyFont="1" applyAlignment="1">
      <alignment horizontal="center"/>
    </xf>
    <xf numFmtId="0" fontId="0" fillId="5" borderId="1" xfId="0" applyFill="1" applyBorder="1"/>
    <xf numFmtId="0" fontId="2" fillId="0" borderId="0" xfId="0" applyFont="1"/>
    <xf numFmtId="0" fontId="2" fillId="0" borderId="0" xfId="0" applyFont="1" applyAlignment="1">
      <alignment horizontal="center"/>
    </xf>
    <xf numFmtId="166" fontId="0" fillId="0" borderId="0" xfId="0" applyNumberFormat="1"/>
    <xf numFmtId="0" fontId="1" fillId="6" borderId="3" xfId="0" applyFont="1" applyFill="1" applyBorder="1"/>
    <xf numFmtId="0" fontId="1" fillId="6" borderId="2" xfId="0" applyFont="1" applyFill="1" applyBorder="1"/>
    <xf numFmtId="164" fontId="1" fillId="6" borderId="3" xfId="0" applyNumberFormat="1" applyFont="1" applyFill="1" applyBorder="1"/>
    <xf numFmtId="0" fontId="0" fillId="0" borderId="4" xfId="0" applyBorder="1"/>
    <xf numFmtId="0" fontId="1" fillId="0" borderId="5" xfId="0" applyFont="1" applyBorder="1"/>
    <xf numFmtId="0" fontId="5" fillId="0" borderId="6" xfId="1" applyFont="1" applyBorder="1"/>
    <xf numFmtId="0" fontId="1" fillId="0" borderId="7" xfId="0" applyFont="1" applyBorder="1"/>
    <xf numFmtId="5" fontId="9" fillId="0" borderId="0" xfId="2" applyNumberFormat="1" applyFont="1"/>
    <xf numFmtId="0" fontId="10" fillId="0" borderId="0" xfId="0" applyFont="1"/>
    <xf numFmtId="0" fontId="11" fillId="0" borderId="0" xfId="0" applyFont="1"/>
    <xf numFmtId="0" fontId="4" fillId="0" borderId="8" xfId="1" applyFont="1" applyBorder="1"/>
    <xf numFmtId="0" fontId="13" fillId="0" borderId="0" xfId="0" applyFont="1"/>
    <xf numFmtId="0" fontId="4" fillId="0" borderId="0" xfId="1" applyFont="1" applyAlignment="1">
      <alignment horizontal="center"/>
    </xf>
    <xf numFmtId="0" fontId="2" fillId="0" borderId="10" xfId="0" applyFont="1" applyBorder="1"/>
    <xf numFmtId="0" fontId="0" fillId="0" borderId="12" xfId="0" applyBorder="1"/>
    <xf numFmtId="0" fontId="4" fillId="0" borderId="12" xfId="1" applyFont="1" applyBorder="1"/>
    <xf numFmtId="0" fontId="5" fillId="0" borderId="12" xfId="1" applyFont="1" applyBorder="1"/>
    <xf numFmtId="164" fontId="0" fillId="0" borderId="12" xfId="0" applyNumberFormat="1" applyBorder="1"/>
    <xf numFmtId="0" fontId="0" fillId="0" borderId="10" xfId="0" applyBorder="1"/>
    <xf numFmtId="164" fontId="0" fillId="0" borderId="10" xfId="0" applyNumberFormat="1" applyBorder="1"/>
    <xf numFmtId="164" fontId="4" fillId="0" borderId="12" xfId="1" applyNumberFormat="1" applyFont="1" applyBorder="1"/>
    <xf numFmtId="0" fontId="0" fillId="0" borderId="12" xfId="0" applyBorder="1" applyAlignment="1">
      <alignment horizontal="right"/>
    </xf>
    <xf numFmtId="0" fontId="1" fillId="0" borderId="13" xfId="0" applyFont="1" applyBorder="1"/>
    <xf numFmtId="0" fontId="1" fillId="0" borderId="11" xfId="0" applyFont="1" applyBorder="1"/>
    <xf numFmtId="0" fontId="7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165" fontId="0" fillId="0" borderId="12" xfId="0" applyNumberFormat="1" applyBorder="1"/>
    <xf numFmtId="0" fontId="0" fillId="0" borderId="13" xfId="0" applyBorder="1"/>
    <xf numFmtId="0" fontId="0" fillId="0" borderId="11" xfId="0" applyBorder="1"/>
    <xf numFmtId="5" fontId="12" fillId="0" borderId="9" xfId="0" applyNumberFormat="1" applyFont="1" applyBorder="1"/>
    <xf numFmtId="5" fontId="12" fillId="0" borderId="12" xfId="0" applyNumberFormat="1" applyFont="1" applyBorder="1"/>
    <xf numFmtId="0" fontId="7" fillId="5" borderId="0" xfId="0" applyFont="1" applyFill="1" applyAlignment="1"/>
    <xf numFmtId="0" fontId="7" fillId="8" borderId="0" xfId="0" applyFont="1" applyFill="1" applyAlignment="1">
      <alignment horizontal="center"/>
    </xf>
    <xf numFmtId="0" fontId="7" fillId="8" borderId="0" xfId="0" applyFont="1" applyFill="1" applyAlignment="1">
      <alignment horizontal="center"/>
    </xf>
    <xf numFmtId="0" fontId="6" fillId="7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164" fontId="7" fillId="8" borderId="0" xfId="0" applyNumberFormat="1" applyFont="1" applyFill="1" applyAlignment="1">
      <alignment horizontal="center"/>
    </xf>
    <xf numFmtId="166" fontId="7" fillId="8" borderId="0" xfId="0" applyNumberFormat="1" applyFont="1" applyFill="1" applyAlignment="1">
      <alignment horizontal="center"/>
    </xf>
    <xf numFmtId="167" fontId="0" fillId="0" borderId="12" xfId="0" applyNumberFormat="1" applyBorder="1"/>
    <xf numFmtId="164" fontId="5" fillId="0" borderId="12" xfId="1" applyNumberFormat="1" applyFont="1" applyBorder="1"/>
    <xf numFmtId="0" fontId="5" fillId="0" borderId="12" xfId="1" applyNumberFormat="1" applyFont="1" applyBorder="1"/>
    <xf numFmtId="2" fontId="0" fillId="0" borderId="10" xfId="0" applyNumberFormat="1" applyBorder="1"/>
    <xf numFmtId="0" fontId="7" fillId="8" borderId="14" xfId="0" applyFont="1" applyFill="1" applyBorder="1" applyAlignment="1">
      <alignment horizontal="center"/>
    </xf>
    <xf numFmtId="0" fontId="7" fillId="8" borderId="15" xfId="0" applyFont="1" applyFill="1" applyBorder="1" applyAlignment="1">
      <alignment horizontal="center"/>
    </xf>
    <xf numFmtId="0" fontId="7" fillId="8" borderId="1" xfId="0" applyFont="1" applyFill="1" applyBorder="1" applyAlignment="1">
      <alignment horizontal="center"/>
    </xf>
    <xf numFmtId="0" fontId="7" fillId="8" borderId="16" xfId="0" applyFont="1" applyFill="1" applyBorder="1" applyAlignment="1">
      <alignment horizontal="center"/>
    </xf>
    <xf numFmtId="164" fontId="7" fillId="8" borderId="16" xfId="0" applyNumberFormat="1" applyFont="1" applyFill="1" applyBorder="1" applyAlignment="1">
      <alignment horizontal="center"/>
    </xf>
    <xf numFmtId="0" fontId="1" fillId="0" borderId="14" xfId="0" applyFont="1" applyBorder="1"/>
    <xf numFmtId="0" fontId="0" fillId="0" borderId="15" xfId="0" applyBorder="1"/>
    <xf numFmtId="164" fontId="0" fillId="0" borderId="15" xfId="0" applyNumberFormat="1" applyBorder="1"/>
  </cellXfs>
  <cellStyles count="3">
    <cellStyle name="Currency" xfId="2" builtinId="4"/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MONTE_CARLO_SIM!$B$1:$B$51</c:f>
              <c:strCache>
                <c:ptCount val="51"/>
                <c:pt idx="0">
                  <c:v>R&amp;D SCENARIO</c:v>
                </c:pt>
                <c:pt idx="1">
                  <c:v>$1,410,756.21</c:v>
                </c:pt>
                <c:pt idx="2">
                  <c:v>$1,251,198.94</c:v>
                </c:pt>
                <c:pt idx="3">
                  <c:v>$1,495,842.02</c:v>
                </c:pt>
                <c:pt idx="4">
                  <c:v>$1,395,758.71</c:v>
                </c:pt>
                <c:pt idx="5">
                  <c:v>$1,532,211.61</c:v>
                </c:pt>
                <c:pt idx="6">
                  <c:v>$1,534,793.57</c:v>
                </c:pt>
                <c:pt idx="7">
                  <c:v>$1,627,494.82</c:v>
                </c:pt>
                <c:pt idx="8">
                  <c:v>$1,389,541.48</c:v>
                </c:pt>
                <c:pt idx="9">
                  <c:v>$1,155,357.95</c:v>
                </c:pt>
                <c:pt idx="10">
                  <c:v>$1,504,671.80</c:v>
                </c:pt>
                <c:pt idx="11">
                  <c:v>$1,457,128.45</c:v>
                </c:pt>
                <c:pt idx="12">
                  <c:v>$1,464,051.04</c:v>
                </c:pt>
                <c:pt idx="13">
                  <c:v>$1,592,418.32</c:v>
                </c:pt>
                <c:pt idx="14">
                  <c:v>$1,242,224.63</c:v>
                </c:pt>
                <c:pt idx="15">
                  <c:v>$1,224,885.68</c:v>
                </c:pt>
                <c:pt idx="16">
                  <c:v>$1,611,442.10</c:v>
                </c:pt>
                <c:pt idx="17">
                  <c:v>$1,261,671.27</c:v>
                </c:pt>
                <c:pt idx="18">
                  <c:v>$1,659,574.26</c:v>
                </c:pt>
                <c:pt idx="19">
                  <c:v>$1,391,215.72</c:v>
                </c:pt>
                <c:pt idx="20">
                  <c:v>$1,435,355.87</c:v>
                </c:pt>
                <c:pt idx="21">
                  <c:v>$1,121,463.24</c:v>
                </c:pt>
                <c:pt idx="22">
                  <c:v>$1,259,874.44</c:v>
                </c:pt>
                <c:pt idx="23">
                  <c:v>$1,658,385.79</c:v>
                </c:pt>
                <c:pt idx="24">
                  <c:v>$1,495,234.10</c:v>
                </c:pt>
                <c:pt idx="25">
                  <c:v>$1,628,229.08</c:v>
                </c:pt>
                <c:pt idx="26">
                  <c:v>$1,328,416.47</c:v>
                </c:pt>
                <c:pt idx="27">
                  <c:v>$1,297,552.62</c:v>
                </c:pt>
                <c:pt idx="28">
                  <c:v>$1,570,602.98</c:v>
                </c:pt>
                <c:pt idx="29">
                  <c:v>$1,604,647.63</c:v>
                </c:pt>
                <c:pt idx="30">
                  <c:v>$1,621,998.67</c:v>
                </c:pt>
                <c:pt idx="31">
                  <c:v>$1,291,147.00</c:v>
                </c:pt>
                <c:pt idx="32">
                  <c:v>$1,652,002.18</c:v>
                </c:pt>
                <c:pt idx="33">
                  <c:v>$1,595,415.47</c:v>
                </c:pt>
                <c:pt idx="34">
                  <c:v>$1,144,669.92</c:v>
                </c:pt>
                <c:pt idx="35">
                  <c:v>$1,632,152.42</c:v>
                </c:pt>
                <c:pt idx="36">
                  <c:v>$1,279,135.28</c:v>
                </c:pt>
                <c:pt idx="37">
                  <c:v>$1,495,802.66</c:v>
                </c:pt>
                <c:pt idx="38">
                  <c:v>$1,188,736.42</c:v>
                </c:pt>
                <c:pt idx="39">
                  <c:v>$1,582,449.79</c:v>
                </c:pt>
                <c:pt idx="40">
                  <c:v>$1,361,349.83</c:v>
                </c:pt>
                <c:pt idx="41">
                  <c:v>$1,423,777.24</c:v>
                </c:pt>
                <c:pt idx="42">
                  <c:v>$1,295,661.60</c:v>
                </c:pt>
                <c:pt idx="43">
                  <c:v>$1,561,242.56</c:v>
                </c:pt>
                <c:pt idx="44">
                  <c:v>$1,176,296.81</c:v>
                </c:pt>
                <c:pt idx="45">
                  <c:v>$1,168,662.99</c:v>
                </c:pt>
                <c:pt idx="46">
                  <c:v>$1,543,715.66</c:v>
                </c:pt>
                <c:pt idx="47">
                  <c:v>$1,644,877.35</c:v>
                </c:pt>
                <c:pt idx="48">
                  <c:v>$1,437,118.86</c:v>
                </c:pt>
                <c:pt idx="49">
                  <c:v>$1,277,660.96</c:v>
                </c:pt>
                <c:pt idx="50">
                  <c:v>$1,602,919.17</c:v>
                </c:pt>
              </c:strCache>
            </c:strRef>
          </c:xVal>
          <c:yVal>
            <c:numRef>
              <c:f>MONTE_CARLO_SIM!$R$1:$R$51</c:f>
              <c:numCache>
                <c:formatCode>General</c:formatCode>
                <c:ptCount val="51"/>
                <c:pt idx="0">
                  <c:v>0</c:v>
                </c:pt>
                <c:pt idx="1">
                  <c:v>#N/A</c:v>
                </c:pt>
                <c:pt idx="2">
                  <c:v>#N/A</c:v>
                </c:pt>
                <c:pt idx="3">
                  <c:v>16</c:v>
                </c:pt>
                <c:pt idx="4">
                  <c:v>15</c:v>
                </c:pt>
                <c:pt idx="5">
                  <c:v>17</c:v>
                </c:pt>
                <c:pt idx="6">
                  <c:v>#N/A</c:v>
                </c:pt>
                <c:pt idx="7">
                  <c:v>17</c:v>
                </c:pt>
                <c:pt idx="8">
                  <c:v>15</c:v>
                </c:pt>
                <c:pt idx="9">
                  <c:v>12</c:v>
                </c:pt>
                <c:pt idx="10">
                  <c:v>#N/A</c:v>
                </c:pt>
                <c:pt idx="11">
                  <c:v>#N/A</c:v>
                </c:pt>
                <c:pt idx="12">
                  <c:v>16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15</c:v>
                </c:pt>
                <c:pt idx="21">
                  <c:v>#N/A</c:v>
                </c:pt>
                <c:pt idx="22">
                  <c:v>#N/A</c:v>
                </c:pt>
                <c:pt idx="23">
                  <c:v>18</c:v>
                </c:pt>
                <c:pt idx="24">
                  <c:v>16</c:v>
                </c:pt>
                <c:pt idx="25">
                  <c:v>#N/A</c:v>
                </c:pt>
                <c:pt idx="26">
                  <c:v>#N/A</c:v>
                </c:pt>
                <c:pt idx="27">
                  <c:v>14</c:v>
                </c:pt>
                <c:pt idx="28">
                  <c:v>17</c:v>
                </c:pt>
                <c:pt idx="29">
                  <c:v>17</c:v>
                </c:pt>
                <c:pt idx="30">
                  <c:v>#N/A</c:v>
                </c:pt>
                <c:pt idx="31">
                  <c:v>#N/A</c:v>
                </c:pt>
                <c:pt idx="32">
                  <c:v>18</c:v>
                </c:pt>
                <c:pt idx="33">
                  <c:v>#N/A</c:v>
                </c:pt>
                <c:pt idx="34">
                  <c:v>12</c:v>
                </c:pt>
                <c:pt idx="35">
                  <c:v>17</c:v>
                </c:pt>
                <c:pt idx="36">
                  <c:v>13</c:v>
                </c:pt>
                <c:pt idx="37">
                  <c:v>16</c:v>
                </c:pt>
                <c:pt idx="38">
                  <c:v>13</c:v>
                </c:pt>
                <c:pt idx="39">
                  <c:v>#N/A</c:v>
                </c:pt>
                <c:pt idx="40">
                  <c:v>14</c:v>
                </c:pt>
                <c:pt idx="41">
                  <c:v>#N/A</c:v>
                </c:pt>
                <c:pt idx="42">
                  <c:v>14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17</c:v>
                </c:pt>
                <c:pt idx="48">
                  <c:v>16</c:v>
                </c:pt>
                <c:pt idx="49">
                  <c:v>#N/A</c:v>
                </c:pt>
                <c:pt idx="5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DE-A04D-BD91-E8F6FD226F2E}"/>
            </c:ext>
          </c:extLst>
        </c:ser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MONTE_CARLO_SIM!$B$1:$B$51</c:f>
              <c:strCache>
                <c:ptCount val="51"/>
                <c:pt idx="0">
                  <c:v>R&amp;D SCENARIO</c:v>
                </c:pt>
                <c:pt idx="1">
                  <c:v>$1,410,756.21</c:v>
                </c:pt>
                <c:pt idx="2">
                  <c:v>$1,251,198.94</c:v>
                </c:pt>
                <c:pt idx="3">
                  <c:v>$1,495,842.02</c:v>
                </c:pt>
                <c:pt idx="4">
                  <c:v>$1,395,758.71</c:v>
                </c:pt>
                <c:pt idx="5">
                  <c:v>$1,532,211.61</c:v>
                </c:pt>
                <c:pt idx="6">
                  <c:v>$1,534,793.57</c:v>
                </c:pt>
                <c:pt idx="7">
                  <c:v>$1,627,494.82</c:v>
                </c:pt>
                <c:pt idx="8">
                  <c:v>$1,389,541.48</c:v>
                </c:pt>
                <c:pt idx="9">
                  <c:v>$1,155,357.95</c:v>
                </c:pt>
                <c:pt idx="10">
                  <c:v>$1,504,671.80</c:v>
                </c:pt>
                <c:pt idx="11">
                  <c:v>$1,457,128.45</c:v>
                </c:pt>
                <c:pt idx="12">
                  <c:v>$1,464,051.04</c:v>
                </c:pt>
                <c:pt idx="13">
                  <c:v>$1,592,418.32</c:v>
                </c:pt>
                <c:pt idx="14">
                  <c:v>$1,242,224.63</c:v>
                </c:pt>
                <c:pt idx="15">
                  <c:v>$1,224,885.68</c:v>
                </c:pt>
                <c:pt idx="16">
                  <c:v>$1,611,442.10</c:v>
                </c:pt>
                <c:pt idx="17">
                  <c:v>$1,261,671.27</c:v>
                </c:pt>
                <c:pt idx="18">
                  <c:v>$1,659,574.26</c:v>
                </c:pt>
                <c:pt idx="19">
                  <c:v>$1,391,215.72</c:v>
                </c:pt>
                <c:pt idx="20">
                  <c:v>$1,435,355.87</c:v>
                </c:pt>
                <c:pt idx="21">
                  <c:v>$1,121,463.24</c:v>
                </c:pt>
                <c:pt idx="22">
                  <c:v>$1,259,874.44</c:v>
                </c:pt>
                <c:pt idx="23">
                  <c:v>$1,658,385.79</c:v>
                </c:pt>
                <c:pt idx="24">
                  <c:v>$1,495,234.10</c:v>
                </c:pt>
                <c:pt idx="25">
                  <c:v>$1,628,229.08</c:v>
                </c:pt>
                <c:pt idx="26">
                  <c:v>$1,328,416.47</c:v>
                </c:pt>
                <c:pt idx="27">
                  <c:v>$1,297,552.62</c:v>
                </c:pt>
                <c:pt idx="28">
                  <c:v>$1,570,602.98</c:v>
                </c:pt>
                <c:pt idx="29">
                  <c:v>$1,604,647.63</c:v>
                </c:pt>
                <c:pt idx="30">
                  <c:v>$1,621,998.67</c:v>
                </c:pt>
                <c:pt idx="31">
                  <c:v>$1,291,147.00</c:v>
                </c:pt>
                <c:pt idx="32">
                  <c:v>$1,652,002.18</c:v>
                </c:pt>
                <c:pt idx="33">
                  <c:v>$1,595,415.47</c:v>
                </c:pt>
                <c:pt idx="34">
                  <c:v>$1,144,669.92</c:v>
                </c:pt>
                <c:pt idx="35">
                  <c:v>$1,632,152.42</c:v>
                </c:pt>
                <c:pt idx="36">
                  <c:v>$1,279,135.28</c:v>
                </c:pt>
                <c:pt idx="37">
                  <c:v>$1,495,802.66</c:v>
                </c:pt>
                <c:pt idx="38">
                  <c:v>$1,188,736.42</c:v>
                </c:pt>
                <c:pt idx="39">
                  <c:v>$1,582,449.79</c:v>
                </c:pt>
                <c:pt idx="40">
                  <c:v>$1,361,349.83</c:v>
                </c:pt>
                <c:pt idx="41">
                  <c:v>$1,423,777.24</c:v>
                </c:pt>
                <c:pt idx="42">
                  <c:v>$1,295,661.60</c:v>
                </c:pt>
                <c:pt idx="43">
                  <c:v>$1,561,242.56</c:v>
                </c:pt>
                <c:pt idx="44">
                  <c:v>$1,176,296.81</c:v>
                </c:pt>
                <c:pt idx="45">
                  <c:v>$1,168,662.99</c:v>
                </c:pt>
                <c:pt idx="46">
                  <c:v>$1,543,715.66</c:v>
                </c:pt>
                <c:pt idx="47">
                  <c:v>$1,644,877.35</c:v>
                </c:pt>
                <c:pt idx="48">
                  <c:v>$1,437,118.86</c:v>
                </c:pt>
                <c:pt idx="49">
                  <c:v>$1,277,660.96</c:v>
                </c:pt>
                <c:pt idx="50">
                  <c:v>$1,602,919.17</c:v>
                </c:pt>
              </c:strCache>
            </c:strRef>
          </c:xVal>
          <c:yVal>
            <c:numRef>
              <c:f>MONTE_CARLO_SIM!$S$1:$S$51</c:f>
              <c:numCache>
                <c:formatCode>General</c:formatCode>
                <c:ptCount val="51"/>
                <c:pt idx="0">
                  <c:v>0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15</c:v>
                </c:pt>
                <c:pt idx="11">
                  <c:v>#N/A</c:v>
                </c:pt>
                <c:pt idx="12">
                  <c:v>#N/A</c:v>
                </c:pt>
                <c:pt idx="13">
                  <c:v>16</c:v>
                </c:pt>
                <c:pt idx="14">
                  <c:v>#N/A</c:v>
                </c:pt>
                <c:pt idx="15">
                  <c:v>12</c:v>
                </c:pt>
                <c:pt idx="16">
                  <c:v>17</c:v>
                </c:pt>
                <c:pt idx="17">
                  <c:v>#N/A</c:v>
                </c:pt>
                <c:pt idx="18">
                  <c:v>17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13</c:v>
                </c:pt>
                <c:pt idx="23">
                  <c:v>#N/A</c:v>
                </c:pt>
                <c:pt idx="24">
                  <c:v>#N/A</c:v>
                </c:pt>
                <c:pt idx="25">
                  <c:v>16</c:v>
                </c:pt>
                <c:pt idx="26">
                  <c:v>14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16</c:v>
                </c:pt>
                <c:pt idx="31">
                  <c:v>#N/A</c:v>
                </c:pt>
                <c:pt idx="32">
                  <c:v>#N/A</c:v>
                </c:pt>
                <c:pt idx="33">
                  <c:v>17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16</c:v>
                </c:pt>
                <c:pt idx="44">
                  <c:v>#N/A</c:v>
                </c:pt>
                <c:pt idx="45">
                  <c:v>12</c:v>
                </c:pt>
                <c:pt idx="46">
                  <c:v>16</c:v>
                </c:pt>
                <c:pt idx="47">
                  <c:v>#N/A</c:v>
                </c:pt>
                <c:pt idx="48">
                  <c:v>#N/A</c:v>
                </c:pt>
                <c:pt idx="49">
                  <c:v>13</c:v>
                </c:pt>
                <c:pt idx="5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DDE-A04D-BD91-E8F6FD226F2E}"/>
            </c:ext>
          </c:extLst>
        </c:ser>
        <c:ser>
          <c:idx val="2"/>
          <c:order val="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MONTE_CARLO_SIM!$B$1:$B$51</c:f>
              <c:strCache>
                <c:ptCount val="51"/>
                <c:pt idx="0">
                  <c:v>R&amp;D SCENARIO</c:v>
                </c:pt>
                <c:pt idx="1">
                  <c:v>$1,410,756.21</c:v>
                </c:pt>
                <c:pt idx="2">
                  <c:v>$1,251,198.94</c:v>
                </c:pt>
                <c:pt idx="3">
                  <c:v>$1,495,842.02</c:v>
                </c:pt>
                <c:pt idx="4">
                  <c:v>$1,395,758.71</c:v>
                </c:pt>
                <c:pt idx="5">
                  <c:v>$1,532,211.61</c:v>
                </c:pt>
                <c:pt idx="6">
                  <c:v>$1,534,793.57</c:v>
                </c:pt>
                <c:pt idx="7">
                  <c:v>$1,627,494.82</c:v>
                </c:pt>
                <c:pt idx="8">
                  <c:v>$1,389,541.48</c:v>
                </c:pt>
                <c:pt idx="9">
                  <c:v>$1,155,357.95</c:v>
                </c:pt>
                <c:pt idx="10">
                  <c:v>$1,504,671.80</c:v>
                </c:pt>
                <c:pt idx="11">
                  <c:v>$1,457,128.45</c:v>
                </c:pt>
                <c:pt idx="12">
                  <c:v>$1,464,051.04</c:v>
                </c:pt>
                <c:pt idx="13">
                  <c:v>$1,592,418.32</c:v>
                </c:pt>
                <c:pt idx="14">
                  <c:v>$1,242,224.63</c:v>
                </c:pt>
                <c:pt idx="15">
                  <c:v>$1,224,885.68</c:v>
                </c:pt>
                <c:pt idx="16">
                  <c:v>$1,611,442.10</c:v>
                </c:pt>
                <c:pt idx="17">
                  <c:v>$1,261,671.27</c:v>
                </c:pt>
                <c:pt idx="18">
                  <c:v>$1,659,574.26</c:v>
                </c:pt>
                <c:pt idx="19">
                  <c:v>$1,391,215.72</c:v>
                </c:pt>
                <c:pt idx="20">
                  <c:v>$1,435,355.87</c:v>
                </c:pt>
                <c:pt idx="21">
                  <c:v>$1,121,463.24</c:v>
                </c:pt>
                <c:pt idx="22">
                  <c:v>$1,259,874.44</c:v>
                </c:pt>
                <c:pt idx="23">
                  <c:v>$1,658,385.79</c:v>
                </c:pt>
                <c:pt idx="24">
                  <c:v>$1,495,234.10</c:v>
                </c:pt>
                <c:pt idx="25">
                  <c:v>$1,628,229.08</c:v>
                </c:pt>
                <c:pt idx="26">
                  <c:v>$1,328,416.47</c:v>
                </c:pt>
                <c:pt idx="27">
                  <c:v>$1,297,552.62</c:v>
                </c:pt>
                <c:pt idx="28">
                  <c:v>$1,570,602.98</c:v>
                </c:pt>
                <c:pt idx="29">
                  <c:v>$1,604,647.63</c:v>
                </c:pt>
                <c:pt idx="30">
                  <c:v>$1,621,998.67</c:v>
                </c:pt>
                <c:pt idx="31">
                  <c:v>$1,291,147.00</c:v>
                </c:pt>
                <c:pt idx="32">
                  <c:v>$1,652,002.18</c:v>
                </c:pt>
                <c:pt idx="33">
                  <c:v>$1,595,415.47</c:v>
                </c:pt>
                <c:pt idx="34">
                  <c:v>$1,144,669.92</c:v>
                </c:pt>
                <c:pt idx="35">
                  <c:v>$1,632,152.42</c:v>
                </c:pt>
                <c:pt idx="36">
                  <c:v>$1,279,135.28</c:v>
                </c:pt>
                <c:pt idx="37">
                  <c:v>$1,495,802.66</c:v>
                </c:pt>
                <c:pt idx="38">
                  <c:v>$1,188,736.42</c:v>
                </c:pt>
                <c:pt idx="39">
                  <c:v>$1,582,449.79</c:v>
                </c:pt>
                <c:pt idx="40">
                  <c:v>$1,361,349.83</c:v>
                </c:pt>
                <c:pt idx="41">
                  <c:v>$1,423,777.24</c:v>
                </c:pt>
                <c:pt idx="42">
                  <c:v>$1,295,661.60</c:v>
                </c:pt>
                <c:pt idx="43">
                  <c:v>$1,561,242.56</c:v>
                </c:pt>
                <c:pt idx="44">
                  <c:v>$1,176,296.81</c:v>
                </c:pt>
                <c:pt idx="45">
                  <c:v>$1,168,662.99</c:v>
                </c:pt>
                <c:pt idx="46">
                  <c:v>$1,543,715.66</c:v>
                </c:pt>
                <c:pt idx="47">
                  <c:v>$1,644,877.35</c:v>
                </c:pt>
                <c:pt idx="48">
                  <c:v>$1,437,118.86</c:v>
                </c:pt>
                <c:pt idx="49">
                  <c:v>$1,277,660.96</c:v>
                </c:pt>
                <c:pt idx="50">
                  <c:v>$1,602,919.17</c:v>
                </c:pt>
              </c:strCache>
            </c:strRef>
          </c:xVal>
          <c:yVal>
            <c:numRef>
              <c:f>MONTE_CARLO_SIM!$T$1:$T$51</c:f>
              <c:numCache>
                <c:formatCode>General</c:formatCode>
                <c:ptCount val="51"/>
                <c:pt idx="0">
                  <c:v>0</c:v>
                </c:pt>
                <c:pt idx="1">
                  <c:v>13</c:v>
                </c:pt>
                <c:pt idx="2">
                  <c:v>12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15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14</c:v>
                </c:pt>
                <c:pt idx="12">
                  <c:v>#N/A</c:v>
                </c:pt>
                <c:pt idx="13">
                  <c:v>#N/A</c:v>
                </c:pt>
                <c:pt idx="14">
                  <c:v>12</c:v>
                </c:pt>
                <c:pt idx="15">
                  <c:v>#N/A</c:v>
                </c:pt>
                <c:pt idx="16">
                  <c:v>#N/A</c:v>
                </c:pt>
                <c:pt idx="17">
                  <c:v>12</c:v>
                </c:pt>
                <c:pt idx="18">
                  <c:v>#N/A</c:v>
                </c:pt>
                <c:pt idx="19">
                  <c:v>14</c:v>
                </c:pt>
                <c:pt idx="20">
                  <c:v>#N/A</c:v>
                </c:pt>
                <c:pt idx="21">
                  <c:v>11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12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15</c:v>
                </c:pt>
                <c:pt idx="40">
                  <c:v>#N/A</c:v>
                </c:pt>
                <c:pt idx="41">
                  <c:v>13</c:v>
                </c:pt>
                <c:pt idx="42">
                  <c:v>#N/A</c:v>
                </c:pt>
                <c:pt idx="43">
                  <c:v>#N/A</c:v>
                </c:pt>
                <c:pt idx="44">
                  <c:v>11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DDE-A04D-BD91-E8F6FD226F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4847808"/>
        <c:axId val="2024833472"/>
      </c:scatterChart>
      <c:valAx>
        <c:axId val="2024847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crossAx val="2024833472"/>
        <c:crosses val="autoZero"/>
        <c:crossBetween val="midCat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valAx>
        <c:axId val="2024833472"/>
        <c:scaling>
          <c:orientation val="minMax"/>
          <c:max val="17"/>
          <c:min val="8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847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613834</xdr:colOff>
      <xdr:row>2</xdr:row>
      <xdr:rowOff>182034</xdr:rowOff>
    </xdr:from>
    <xdr:to>
      <xdr:col>13</xdr:col>
      <xdr:colOff>423334</xdr:colOff>
      <xdr:row>23</xdr:row>
      <xdr:rowOff>118534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D2E27096-6898-3F2F-0926-C2B5A7DD18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autoweek.com/racing/indycar/a2014111/dallara-named-indycar-chassis-supplier-2012/" TargetMode="External"/><Relationship Id="rId1" Type="http://schemas.openxmlformats.org/officeDocument/2006/relationships/hyperlink" Target="https://racer.com/2025/02/21/indycar-leaders-circle-contracts-increased-by-100k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racer.com/2025/02/25/why-do-indycar-team-budgets-keep-climbing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ckinsey.com/industries/industrials/our-insights/distribution-blog/harnessing-the-power-of-ai-in-distribution-operations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dycar.com/Schedu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18"/>
  <sheetViews>
    <sheetView showGridLines="0" workbookViewId="0">
      <selection activeCell="D20" sqref="D20"/>
    </sheetView>
  </sheetViews>
  <sheetFormatPr baseColWidth="10" defaultColWidth="8.83203125" defaultRowHeight="15" x14ac:dyDescent="0.2"/>
  <cols>
    <col min="1" max="1" width="11.6640625" style="1" bestFit="1" customWidth="1"/>
    <col min="2" max="2" width="20.33203125" bestFit="1" customWidth="1"/>
    <col min="3" max="3" width="12.6640625" style="2" bestFit="1" customWidth="1"/>
    <col min="4" max="4" width="16.5" bestFit="1" customWidth="1"/>
    <col min="5" max="5" width="7.6640625" bestFit="1" customWidth="1"/>
    <col min="7" max="7" width="13.33203125" bestFit="1" customWidth="1"/>
  </cols>
  <sheetData>
    <row r="1" spans="1:7" x14ac:dyDescent="0.2">
      <c r="A1" s="54" t="s">
        <v>66</v>
      </c>
      <c r="B1" s="55" t="s">
        <v>67</v>
      </c>
      <c r="C1" s="56" t="s">
        <v>68</v>
      </c>
      <c r="D1" s="55" t="s">
        <v>69</v>
      </c>
      <c r="E1" s="55" t="s">
        <v>70</v>
      </c>
      <c r="G1" s="5"/>
    </row>
    <row r="2" spans="1:7" x14ac:dyDescent="0.2">
      <c r="A2" s="30" t="s">
        <v>0</v>
      </c>
      <c r="B2" s="22" t="s">
        <v>31</v>
      </c>
      <c r="C2" s="25">
        <v>450000</v>
      </c>
      <c r="D2" s="23" t="s">
        <v>64</v>
      </c>
      <c r="E2" s="22" t="s">
        <v>1</v>
      </c>
      <c r="G2" s="20"/>
    </row>
    <row r="3" spans="1:7" x14ac:dyDescent="0.2">
      <c r="A3" s="30" t="s">
        <v>0</v>
      </c>
      <c r="B3" s="22" t="s">
        <v>56</v>
      </c>
      <c r="C3" s="25">
        <v>250000</v>
      </c>
      <c r="D3" s="22" t="s">
        <v>62</v>
      </c>
      <c r="E3" s="22" t="s">
        <v>2</v>
      </c>
    </row>
    <row r="4" spans="1:7" x14ac:dyDescent="0.2">
      <c r="A4" s="30" t="s">
        <v>3</v>
      </c>
      <c r="B4" s="22" t="s">
        <v>55</v>
      </c>
      <c r="C4" s="25">
        <v>1700000</v>
      </c>
      <c r="D4" s="23" t="s">
        <v>4</v>
      </c>
      <c r="E4" s="22" t="s">
        <v>1</v>
      </c>
    </row>
    <row r="5" spans="1:7" x14ac:dyDescent="0.2">
      <c r="A5" s="30" t="s">
        <v>5</v>
      </c>
      <c r="B5" s="22" t="s">
        <v>58</v>
      </c>
      <c r="C5" s="25">
        <v>1100000</v>
      </c>
      <c r="D5" s="22" t="s">
        <v>57</v>
      </c>
      <c r="E5" s="22" t="s">
        <v>1</v>
      </c>
    </row>
    <row r="6" spans="1:7" x14ac:dyDescent="0.2">
      <c r="A6" s="30" t="s">
        <v>6</v>
      </c>
      <c r="B6" s="22" t="s">
        <v>29</v>
      </c>
      <c r="C6" s="25">
        <v>1800000</v>
      </c>
      <c r="D6" s="22" t="s">
        <v>7</v>
      </c>
      <c r="E6" s="22" t="s">
        <v>8</v>
      </c>
    </row>
    <row r="7" spans="1:7" x14ac:dyDescent="0.2">
      <c r="A7" s="30" t="s">
        <v>9</v>
      </c>
      <c r="B7" s="22" t="s">
        <v>59</v>
      </c>
      <c r="C7" s="25">
        <v>450000</v>
      </c>
      <c r="D7" s="22" t="s">
        <v>46</v>
      </c>
      <c r="E7" s="22" t="s">
        <v>8</v>
      </c>
    </row>
    <row r="8" spans="1:7" x14ac:dyDescent="0.2">
      <c r="A8" s="30"/>
      <c r="B8" s="22" t="s">
        <v>43</v>
      </c>
      <c r="C8" s="25">
        <f>RND_PERFORMANCE_MODEL!B8</f>
        <v>360000</v>
      </c>
      <c r="D8" s="24" t="s">
        <v>44</v>
      </c>
      <c r="E8" s="22" t="s">
        <v>8</v>
      </c>
    </row>
    <row r="9" spans="1:7" x14ac:dyDescent="0.2">
      <c r="A9" s="30"/>
      <c r="B9" s="22"/>
      <c r="C9" s="25"/>
      <c r="D9" s="22"/>
      <c r="E9" s="22"/>
    </row>
    <row r="10" spans="1:7" x14ac:dyDescent="0.2">
      <c r="A10" s="57" t="s">
        <v>54</v>
      </c>
      <c r="B10" s="58"/>
      <c r="C10" s="59">
        <v>8500000</v>
      </c>
      <c r="D10" s="22"/>
      <c r="E10" s="22"/>
    </row>
    <row r="11" spans="1:7" x14ac:dyDescent="0.2">
      <c r="A11" s="30" t="s">
        <v>60</v>
      </c>
      <c r="B11" s="22"/>
      <c r="C11" s="25">
        <f>SUM(C2:C6,C8)</f>
        <v>5660000</v>
      </c>
      <c r="D11" s="22"/>
      <c r="E11" s="22"/>
    </row>
    <row r="12" spans="1:7" x14ac:dyDescent="0.2">
      <c r="A12" s="31" t="s">
        <v>61</v>
      </c>
      <c r="B12" s="26"/>
      <c r="C12" s="27">
        <f>C10-C11</f>
        <v>2840000</v>
      </c>
      <c r="D12" s="26"/>
      <c r="E12" s="26"/>
    </row>
    <row r="13" spans="1:7" x14ac:dyDescent="0.2">
      <c r="B13" s="11"/>
    </row>
    <row r="14" spans="1:7" x14ac:dyDescent="0.2">
      <c r="A14" s="12"/>
      <c r="B14" s="14" t="s">
        <v>50</v>
      </c>
    </row>
    <row r="15" spans="1:7" x14ac:dyDescent="0.2">
      <c r="A15" s="12"/>
      <c r="B15" s="13" t="s">
        <v>47</v>
      </c>
    </row>
    <row r="16" spans="1:7" x14ac:dyDescent="0.2">
      <c r="A16" s="12"/>
      <c r="B16" s="18" t="s">
        <v>48</v>
      </c>
    </row>
    <row r="17" spans="2:2" x14ac:dyDescent="0.2">
      <c r="B17" s="2"/>
    </row>
    <row r="18" spans="2:2" x14ac:dyDescent="0.2">
      <c r="B18" s="2"/>
    </row>
  </sheetData>
  <hyperlinks>
    <hyperlink ref="D4" r:id="rId1" xr:uid="{651DE938-CB40-5F4D-9610-EB947937B2CF}"/>
    <hyperlink ref="D8" location="RND_PERFORMANCE_MODEL!B8" display="AI contribution" xr:uid="{79F83DE5-7CE2-FA4F-8804-F67DEA9F21B9}"/>
    <hyperlink ref="D2" r:id="rId2" xr:uid="{5409069C-41F6-934C-8EB9-E905F1428E43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C14"/>
  <sheetViews>
    <sheetView showGridLines="0" workbookViewId="0">
      <selection sqref="A1:C1"/>
    </sheetView>
  </sheetViews>
  <sheetFormatPr baseColWidth="10" defaultColWidth="8.83203125" defaultRowHeight="15" x14ac:dyDescent="0.2"/>
  <cols>
    <col min="1" max="1" width="21.6640625" style="1" bestFit="1" customWidth="1"/>
    <col min="2" max="2" width="15.1640625" bestFit="1" customWidth="1"/>
    <col min="3" max="3" width="19.6640625" bestFit="1" customWidth="1"/>
  </cols>
  <sheetData>
    <row r="1" spans="1:3" x14ac:dyDescent="0.2">
      <c r="A1" s="54" t="s">
        <v>73</v>
      </c>
      <c r="B1" s="55" t="s">
        <v>72</v>
      </c>
      <c r="C1" s="55" t="s">
        <v>71</v>
      </c>
    </row>
    <row r="2" spans="1:3" x14ac:dyDescent="0.2">
      <c r="A2" s="30" t="s">
        <v>10</v>
      </c>
      <c r="B2" s="22">
        <v>6500</v>
      </c>
      <c r="C2" s="22" t="s">
        <v>11</v>
      </c>
    </row>
    <row r="3" spans="1:3" x14ac:dyDescent="0.2">
      <c r="A3" s="30" t="s">
        <v>12</v>
      </c>
      <c r="B3" s="25">
        <v>3.2</v>
      </c>
      <c r="C3" s="22" t="s">
        <v>40</v>
      </c>
    </row>
    <row r="4" spans="1:3" x14ac:dyDescent="0.2">
      <c r="A4" s="30" t="s">
        <v>13</v>
      </c>
      <c r="B4" s="25">
        <f>B2*B3</f>
        <v>20800</v>
      </c>
      <c r="C4" s="22" t="s">
        <v>14</v>
      </c>
    </row>
    <row r="5" spans="1:3" x14ac:dyDescent="0.2">
      <c r="A5" s="30" t="s">
        <v>15</v>
      </c>
      <c r="B5" s="29" t="s">
        <v>26</v>
      </c>
      <c r="C5" s="22" t="s">
        <v>16</v>
      </c>
    </row>
    <row r="6" spans="1:3" x14ac:dyDescent="0.2">
      <c r="A6" s="30" t="s">
        <v>27</v>
      </c>
      <c r="B6" s="22">
        <f>_xlfn.XLOOKUP(B5, A12:A14, B12:B14)</f>
        <v>0.15</v>
      </c>
      <c r="C6" s="22" t="s">
        <v>17</v>
      </c>
    </row>
    <row r="7" spans="1:3" x14ac:dyDescent="0.2">
      <c r="A7" s="30" t="s">
        <v>54</v>
      </c>
      <c r="B7" s="25">
        <f>MARKET_BENCHMARK!C10</f>
        <v>8500000</v>
      </c>
      <c r="C7" s="28" t="s">
        <v>52</v>
      </c>
    </row>
    <row r="8" spans="1:3" x14ac:dyDescent="0.2">
      <c r="A8" s="31" t="s">
        <v>18</v>
      </c>
      <c r="B8" s="27">
        <f>B6*B7</f>
        <v>1275000</v>
      </c>
      <c r="C8" s="26" t="s">
        <v>45</v>
      </c>
    </row>
    <row r="9" spans="1:3" x14ac:dyDescent="0.2">
      <c r="B9" s="2"/>
    </row>
    <row r="11" spans="1:3" x14ac:dyDescent="0.2">
      <c r="A11" s="6" t="s">
        <v>15</v>
      </c>
      <c r="B11" s="6" t="s">
        <v>27</v>
      </c>
    </row>
    <row r="12" spans="1:3" x14ac:dyDescent="0.2">
      <c r="A12" s="32" t="s">
        <v>26</v>
      </c>
      <c r="B12" s="4">
        <v>0.15</v>
      </c>
    </row>
    <row r="13" spans="1:3" x14ac:dyDescent="0.2">
      <c r="A13" s="33" t="s">
        <v>2</v>
      </c>
      <c r="B13" s="4">
        <v>0.22</v>
      </c>
    </row>
    <row r="14" spans="1:3" x14ac:dyDescent="0.2">
      <c r="A14" s="34" t="s">
        <v>1</v>
      </c>
      <c r="B14" s="4">
        <v>0.3</v>
      </c>
    </row>
  </sheetData>
  <dataValidations count="1">
    <dataValidation type="list" sqref="B4" xr:uid="{00000000-0002-0000-0100-000000000000}">
      <formula1>"Low Risk,High Risk"</formula1>
    </dataValidation>
  </dataValidations>
  <hyperlinks>
    <hyperlink ref="C7" r:id="rId1" display="Typical IndyCar season" xr:uid="{6AEA3CC9-3835-8C4B-B45A-6C7DF738BF6E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J18"/>
  <sheetViews>
    <sheetView showGridLines="0" workbookViewId="0">
      <selection sqref="A1:C1"/>
    </sheetView>
  </sheetViews>
  <sheetFormatPr baseColWidth="10" defaultColWidth="8.83203125" defaultRowHeight="15" x14ac:dyDescent="0.2"/>
  <cols>
    <col min="1" max="1" width="20.6640625" style="1" bestFit="1" customWidth="1"/>
    <col min="2" max="2" width="12.6640625" bestFit="1" customWidth="1"/>
    <col min="3" max="3" width="29.83203125" customWidth="1"/>
    <col min="5" max="5" width="11.6640625" bestFit="1" customWidth="1"/>
    <col min="6" max="6" width="9.1640625" bestFit="1" customWidth="1"/>
    <col min="7" max="10" width="10.6640625" bestFit="1" customWidth="1"/>
  </cols>
  <sheetData>
    <row r="1" spans="1:10" x14ac:dyDescent="0.2">
      <c r="A1" s="52" t="s">
        <v>73</v>
      </c>
      <c r="B1" s="53" t="s">
        <v>74</v>
      </c>
      <c r="C1" s="52" t="s">
        <v>67</v>
      </c>
    </row>
    <row r="2" spans="1:10" x14ac:dyDescent="0.2">
      <c r="A2" s="30" t="s">
        <v>19</v>
      </c>
      <c r="B2" s="25">
        <v>1400000</v>
      </c>
      <c r="C2" s="36" t="s">
        <v>65</v>
      </c>
    </row>
    <row r="3" spans="1:10" x14ac:dyDescent="0.2">
      <c r="A3" s="30" t="s">
        <v>20</v>
      </c>
      <c r="B3" s="22">
        <v>0.92</v>
      </c>
      <c r="C3" s="36" t="s">
        <v>30</v>
      </c>
    </row>
    <row r="4" spans="1:10" x14ac:dyDescent="0.2">
      <c r="A4" s="30" t="s">
        <v>28</v>
      </c>
      <c r="B4" s="23">
        <v>0.2</v>
      </c>
      <c r="C4" s="36" t="s">
        <v>63</v>
      </c>
    </row>
    <row r="5" spans="1:10" x14ac:dyDescent="0.2">
      <c r="A5" s="30" t="s">
        <v>21</v>
      </c>
      <c r="B5" s="35">
        <f>OPERATIONAL_SIMULATOR!B3*(1-B3)</f>
        <v>0.25599999999999989</v>
      </c>
      <c r="C5" s="36" t="s">
        <v>32</v>
      </c>
    </row>
    <row r="6" spans="1:10" x14ac:dyDescent="0.2">
      <c r="A6" s="31" t="s">
        <v>41</v>
      </c>
      <c r="B6" s="26">
        <f>ROUND((B2/100000)*(B3*1.1),0)</f>
        <v>14</v>
      </c>
      <c r="C6" s="37" t="s">
        <v>49</v>
      </c>
    </row>
    <row r="8" spans="1:10" x14ac:dyDescent="0.2">
      <c r="A8" s="9" t="s">
        <v>43</v>
      </c>
      <c r="B8" s="10">
        <f>MARKET_BENCHMARK!C7 * (1 - B4)</f>
        <v>360000</v>
      </c>
    </row>
    <row r="9" spans="1:10" x14ac:dyDescent="0.2">
      <c r="A9" s="8" t="s">
        <v>42</v>
      </c>
      <c r="B9" s="10">
        <f>MARKET_BENCHMARK!C7 - B8</f>
        <v>90000</v>
      </c>
    </row>
    <row r="11" spans="1:10" x14ac:dyDescent="0.2">
      <c r="E11" s="1"/>
      <c r="F11" s="1"/>
      <c r="G11" s="1"/>
    </row>
    <row r="13" spans="1:10" x14ac:dyDescent="0.2">
      <c r="E13" s="16"/>
      <c r="F13" s="15"/>
      <c r="G13" s="15"/>
      <c r="H13" s="15"/>
      <c r="I13" s="15"/>
      <c r="J13" s="15"/>
    </row>
    <row r="14" spans="1:10" x14ac:dyDescent="0.2">
      <c r="E14" s="15"/>
    </row>
    <row r="15" spans="1:10" x14ac:dyDescent="0.2">
      <c r="E15" s="15"/>
    </row>
    <row r="16" spans="1:10" x14ac:dyDescent="0.2">
      <c r="E16" s="15"/>
    </row>
    <row r="17" spans="5:5" x14ac:dyDescent="0.2">
      <c r="E17" s="15"/>
    </row>
    <row r="18" spans="5:5" x14ac:dyDescent="0.2">
      <c r="E18" s="15"/>
    </row>
  </sheetData>
  <conditionalFormatting sqref="F14:J1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ef="B4" r:id="rId1" display="https://www.mckinsey.com/industries/industrials/our-insights/distribution-blog/harnessing-the-power-of-ai-in-distribution-operations" xr:uid="{F08E0415-0A49-084B-91DB-0DB1B86DA12E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168CA-FC01-A142-AF3E-D53BF58B9817}">
  <dimension ref="A1:F8"/>
  <sheetViews>
    <sheetView showGridLines="0" workbookViewId="0">
      <selection activeCell="B14" sqref="B14"/>
    </sheetView>
  </sheetViews>
  <sheetFormatPr baseColWidth="10" defaultRowHeight="15" x14ac:dyDescent="0.2"/>
  <cols>
    <col min="1" max="1" width="11.33203125" customWidth="1"/>
    <col min="2" max="2" width="9.1640625" bestFit="1" customWidth="1"/>
    <col min="3" max="5" width="10.6640625" bestFit="1" customWidth="1"/>
  </cols>
  <sheetData>
    <row r="1" spans="1:6" s="40" customFormat="1" x14ac:dyDescent="0.2">
      <c r="A1" s="42" t="s">
        <v>75</v>
      </c>
      <c r="B1" s="42"/>
      <c r="C1" s="42"/>
      <c r="D1" s="42"/>
      <c r="E1" s="42"/>
      <c r="F1" s="42"/>
    </row>
    <row r="2" spans="1:6" x14ac:dyDescent="0.2">
      <c r="A2" s="17"/>
      <c r="B2" s="17"/>
      <c r="C2" s="17"/>
      <c r="D2" s="17"/>
      <c r="E2" s="17"/>
      <c r="F2" s="17"/>
    </row>
    <row r="3" spans="1:6" x14ac:dyDescent="0.2">
      <c r="A3" s="21" t="s">
        <v>76</v>
      </c>
      <c r="B3" s="38">
        <v>800000</v>
      </c>
      <c r="C3" s="38">
        <v>1000000</v>
      </c>
      <c r="D3" s="38">
        <v>1200000</v>
      </c>
      <c r="E3" s="38">
        <v>1400000</v>
      </c>
      <c r="F3" s="38">
        <v>1600000</v>
      </c>
    </row>
    <row r="4" spans="1:6" x14ac:dyDescent="0.2">
      <c r="A4" s="39">
        <v>6500000</v>
      </c>
      <c r="B4" s="19">
        <f>MIN(0.9, (LN($A4/1000000)*0.12 + LN(B$3/100000)*0.08))</f>
        <v>0.3909715845625778</v>
      </c>
      <c r="C4" s="19">
        <f>MIN(0.9, (LN($A4/1000000)*0.12 + LN(C$3/100000)*0.08))</f>
        <v>0.40882306866771462</v>
      </c>
      <c r="D4" s="19">
        <f>MIN(0.9, (LN($A4/1000000)*0.12 + LN(D$3/100000)*0.08))</f>
        <v>0.42340879321123098</v>
      </c>
      <c r="E4" s="19">
        <f>MIN(0.9, (LN($A4/1000000)*0.12 + LN(E$3/100000)*0.08))</f>
        <v>0.43574084759741161</v>
      </c>
      <c r="F4" s="19">
        <f>MIN(0.9, (LN($A4/1000000)*0.12 + LN(F$3/100000)*0.08))</f>
        <v>0.44642335900737345</v>
      </c>
    </row>
    <row r="5" spans="1:6" x14ac:dyDescent="0.2">
      <c r="A5" s="39">
        <v>7500000</v>
      </c>
      <c r="B5" s="19">
        <f>MIN(0.9, (LN($A5/1000000)*0.12 + LN(B$3/100000)*0.08))</f>
        <v>0.40814368579945859</v>
      </c>
      <c r="C5" s="19">
        <f>MIN(0.9, (LN($A5/1000000)*0.12 + LN(C$3/100000)*0.08))</f>
        <v>0.42599516990459541</v>
      </c>
      <c r="D5" s="19">
        <f>MIN(0.9, (LN($A5/1000000)*0.12 + LN(D$3/100000)*0.08))</f>
        <v>0.44058089444811177</v>
      </c>
      <c r="E5" s="19">
        <f>MIN(0.9, (LN($A5/1000000)*0.12 + LN(E$3/100000)*0.08))</f>
        <v>0.45291294883429245</v>
      </c>
      <c r="F5" s="19">
        <f>MIN(0.9, (LN($A5/1000000)*0.12 + LN(F$3/100000)*0.08))</f>
        <v>0.46359546024425424</v>
      </c>
    </row>
    <row r="6" spans="1:6" x14ac:dyDescent="0.2">
      <c r="A6" s="39">
        <v>8500000</v>
      </c>
      <c r="B6" s="19">
        <f>MIN(0.9, (LN($A6/1000000)*0.12 + LN(B$3/100000)*0.08))</f>
        <v>0.42316326295393936</v>
      </c>
      <c r="C6" s="19">
        <f>MIN(0.9, (LN($A6/1000000)*0.12 + LN(C$3/100000)*0.08))</f>
        <v>0.44101474705907617</v>
      </c>
      <c r="D6" s="19">
        <f>MIN(0.9, (LN($A6/1000000)*0.12 + LN(D$3/100000)*0.08))</f>
        <v>0.45560047160259254</v>
      </c>
      <c r="E6" s="19">
        <f>MIN(0.9, (LN($A6/1000000)*0.12 + LN(E$3/100000)*0.08))</f>
        <v>0.46793252598877322</v>
      </c>
      <c r="F6" s="19">
        <f>MIN(0.9, (LN($A6/1000000)*0.12 + LN(F$3/100000)*0.08))</f>
        <v>0.47861503739873501</v>
      </c>
    </row>
    <row r="7" spans="1:6" x14ac:dyDescent="0.2">
      <c r="A7" s="39">
        <v>9500000</v>
      </c>
      <c r="B7" s="19">
        <f>MIN(0.9, (LN($A7/1000000)*0.12 + LN(B$3/100000)*0.08))</f>
        <v>0.43651033916716625</v>
      </c>
      <c r="C7" s="19">
        <f>MIN(0.9, (LN($A7/1000000)*0.12 + LN(C$3/100000)*0.08))</f>
        <v>0.45436182327230307</v>
      </c>
      <c r="D7" s="19">
        <f>MIN(0.9, (LN($A7/1000000)*0.12 + LN(D$3/100000)*0.08))</f>
        <v>0.46894754781581943</v>
      </c>
      <c r="E7" s="19">
        <f>MIN(0.9, (LN($A7/1000000)*0.12 + LN(E$3/100000)*0.08))</f>
        <v>0.48127960220200006</v>
      </c>
      <c r="F7" s="19">
        <f>MIN(0.9, (LN($A7/1000000)*0.12 + LN(F$3/100000)*0.08))</f>
        <v>0.4919621136119619</v>
      </c>
    </row>
    <row r="8" spans="1:6" x14ac:dyDescent="0.2">
      <c r="A8" s="39">
        <v>10500000</v>
      </c>
      <c r="B8" s="19">
        <f>MIN(0.9, (LN($A8/1000000)*0.12 + LN(B$3/100000)*0.08))</f>
        <v>0.44852035419400416</v>
      </c>
      <c r="C8" s="19">
        <f>MIN(0.9, (LN($A8/1000000)*0.12 + LN(C$3/100000)*0.08))</f>
        <v>0.46637183829914097</v>
      </c>
      <c r="D8" s="19">
        <f>MIN(0.9, (LN($A8/1000000)*0.12 + LN(D$3/100000)*0.08))</f>
        <v>0.48095756284265734</v>
      </c>
      <c r="E8" s="19">
        <f>MIN(0.9, (LN($A8/1000000)*0.12 + LN(E$3/100000)*0.08))</f>
        <v>0.49328961722883802</v>
      </c>
      <c r="F8" s="19">
        <f>MIN(0.9, (LN($A8/1000000)*0.12 + LN(F$3/100000)*0.08))</f>
        <v>0.50397212863879981</v>
      </c>
    </row>
  </sheetData>
  <mergeCells count="1">
    <mergeCell ref="A1:F1"/>
  </mergeCells>
  <conditionalFormatting sqref="B4:F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T51"/>
  <sheetViews>
    <sheetView showGridLines="0" tabSelected="1" zoomScale="75" zoomScaleNormal="125" workbookViewId="0">
      <selection activeCell="V29" sqref="V29"/>
    </sheetView>
  </sheetViews>
  <sheetFormatPr baseColWidth="10" defaultColWidth="8.83203125" defaultRowHeight="15" x14ac:dyDescent="0.2"/>
  <cols>
    <col min="1" max="1" width="7.83203125" style="3" customWidth="1"/>
    <col min="2" max="2" width="14" style="2" bestFit="1" customWidth="1"/>
    <col min="3" max="3" width="11" style="7" bestFit="1" customWidth="1"/>
    <col min="4" max="4" width="14.83203125" bestFit="1" customWidth="1"/>
  </cols>
  <sheetData>
    <row r="1" spans="1:20" x14ac:dyDescent="0.2">
      <c r="A1" s="6"/>
      <c r="B1" s="46" t="s">
        <v>77</v>
      </c>
      <c r="C1" s="47" t="s">
        <v>78</v>
      </c>
      <c r="D1" s="41" t="s">
        <v>79</v>
      </c>
      <c r="R1" s="43" t="s">
        <v>1</v>
      </c>
      <c r="S1" s="44" t="s">
        <v>2</v>
      </c>
      <c r="T1" s="45" t="s">
        <v>26</v>
      </c>
    </row>
    <row r="2" spans="1:20" x14ac:dyDescent="0.2">
      <c r="B2" s="2">
        <f ca="1">RND_PERFORMANCE_MODEL!B2*(0.8+RAND()*0.4)</f>
        <v>1410756.2064757564</v>
      </c>
      <c r="C2" s="7">
        <f ca="1">RND_PERFORMANCE_MODEL!B3*(0.9+RAND()*0.2)</f>
        <v>0.84348263055251949</v>
      </c>
      <c r="D2">
        <f t="shared" ref="D2:D33" ca="1" si="0">ROUND((B2 /100000)*(C2*1.1),0)</f>
        <v>13</v>
      </c>
      <c r="R2" t="e">
        <f t="shared" ref="R2:R33" ca="1" si="1">IF(C2&gt;=0.95, D2, NA())</f>
        <v>#N/A</v>
      </c>
      <c r="S2" t="e">
        <f t="shared" ref="S2:S33" ca="1" si="2">IF(AND(C2&lt;0.95, C2&gt;=0.9), D2, NA())</f>
        <v>#N/A</v>
      </c>
      <c r="T2">
        <f t="shared" ref="T2:T33" ca="1" si="3">IF(C2&lt;0.9, D2, NA())</f>
        <v>13</v>
      </c>
    </row>
    <row r="3" spans="1:20" x14ac:dyDescent="0.2">
      <c r="B3" s="2">
        <f ca="1">RND_PERFORMANCE_MODEL!B2*(0.8+RAND()*0.4)</f>
        <v>1251198.9420846819</v>
      </c>
      <c r="C3" s="7">
        <f ca="1">RND_PERFORMANCE_MODEL!B3*(0.9+RAND()*0.2)</f>
        <v>0.83657440090365631</v>
      </c>
      <c r="D3">
        <f t="shared" ca="1" si="0"/>
        <v>12</v>
      </c>
      <c r="R3" t="e">
        <f t="shared" ca="1" si="1"/>
        <v>#N/A</v>
      </c>
      <c r="S3" t="e">
        <f t="shared" ca="1" si="2"/>
        <v>#N/A</v>
      </c>
      <c r="T3">
        <f t="shared" ca="1" si="3"/>
        <v>12</v>
      </c>
    </row>
    <row r="4" spans="1:20" x14ac:dyDescent="0.2">
      <c r="B4" s="2">
        <f ca="1">RND_PERFORMANCE_MODEL!B2*(0.8+RAND()*0.4)</f>
        <v>1495842.0234160076</v>
      </c>
      <c r="C4" s="7">
        <f ca="1">RND_PERFORMANCE_MODEL!B3*(0.9+RAND()*0.2)</f>
        <v>0.95863554215457503</v>
      </c>
      <c r="D4">
        <f t="shared" ca="1" si="0"/>
        <v>16</v>
      </c>
      <c r="R4">
        <f t="shared" ca="1" si="1"/>
        <v>16</v>
      </c>
      <c r="S4" t="e">
        <f t="shared" ca="1" si="2"/>
        <v>#N/A</v>
      </c>
      <c r="T4" t="e">
        <f t="shared" ca="1" si="3"/>
        <v>#N/A</v>
      </c>
    </row>
    <row r="5" spans="1:20" x14ac:dyDescent="0.2">
      <c r="B5" s="2">
        <f ca="1">RND_PERFORMANCE_MODEL!B2*(0.8+RAND()*0.4)</f>
        <v>1395758.7103674253</v>
      </c>
      <c r="C5" s="7">
        <f ca="1">RND_PERFORMANCE_MODEL!B3*(0.9+RAND()*0.2)</f>
        <v>0.97946001420112871</v>
      </c>
      <c r="D5">
        <f t="shared" ca="1" si="0"/>
        <v>15</v>
      </c>
      <c r="R5">
        <f t="shared" ca="1" si="1"/>
        <v>15</v>
      </c>
      <c r="S5" t="e">
        <f t="shared" ca="1" si="2"/>
        <v>#N/A</v>
      </c>
      <c r="T5" t="e">
        <f t="shared" ca="1" si="3"/>
        <v>#N/A</v>
      </c>
    </row>
    <row r="6" spans="1:20" x14ac:dyDescent="0.2">
      <c r="B6" s="2">
        <f ca="1">RND_PERFORMANCE_MODEL!B2*(0.8+RAND()*0.4)</f>
        <v>1532211.6140681522</v>
      </c>
      <c r="C6" s="7">
        <f ca="1">RND_PERFORMANCE_MODEL!B3*(0.9+RAND()*0.2)</f>
        <v>0.99704011694624617</v>
      </c>
      <c r="D6">
        <f t="shared" ca="1" si="0"/>
        <v>17</v>
      </c>
      <c r="R6">
        <f t="shared" ca="1" si="1"/>
        <v>17</v>
      </c>
      <c r="S6" t="e">
        <f t="shared" ca="1" si="2"/>
        <v>#N/A</v>
      </c>
      <c r="T6" t="e">
        <f t="shared" ca="1" si="3"/>
        <v>#N/A</v>
      </c>
    </row>
    <row r="7" spans="1:20" x14ac:dyDescent="0.2">
      <c r="B7" s="2">
        <f ca="1">RND_PERFORMANCE_MODEL!B2*(0.8+RAND()*0.4)</f>
        <v>1534793.5713980407</v>
      </c>
      <c r="C7" s="7">
        <f ca="1">RND_PERFORMANCE_MODEL!B3*(0.9+RAND()*0.2)</f>
        <v>0.89570895766328062</v>
      </c>
      <c r="D7">
        <f t="shared" ca="1" si="0"/>
        <v>15</v>
      </c>
      <c r="R7" t="e">
        <f t="shared" ca="1" si="1"/>
        <v>#N/A</v>
      </c>
      <c r="S7" t="e">
        <f t="shared" ca="1" si="2"/>
        <v>#N/A</v>
      </c>
      <c r="T7">
        <f t="shared" ca="1" si="3"/>
        <v>15</v>
      </c>
    </row>
    <row r="8" spans="1:20" x14ac:dyDescent="0.2">
      <c r="B8" s="2">
        <f ca="1">RND_PERFORMANCE_MODEL!B2*(0.8+RAND()*0.4)</f>
        <v>1627494.822540394</v>
      </c>
      <c r="C8" s="7">
        <f ca="1">RND_PERFORMANCE_MODEL!B3*(0.9+RAND()*0.2)</f>
        <v>0.95791446522678247</v>
      </c>
      <c r="D8">
        <f t="shared" ca="1" si="0"/>
        <v>17</v>
      </c>
      <c r="R8">
        <f t="shared" ca="1" si="1"/>
        <v>17</v>
      </c>
      <c r="S8" t="e">
        <f t="shared" ca="1" si="2"/>
        <v>#N/A</v>
      </c>
      <c r="T8" t="e">
        <f t="shared" ca="1" si="3"/>
        <v>#N/A</v>
      </c>
    </row>
    <row r="9" spans="1:20" x14ac:dyDescent="0.2">
      <c r="B9" s="2">
        <f ca="1">RND_PERFORMANCE_MODEL!B2*(0.8+RAND()*0.4)</f>
        <v>1389541.4846588229</v>
      </c>
      <c r="C9" s="7">
        <f ca="1">RND_PERFORMANCE_MODEL!B3*(0.9+RAND()*0.2)</f>
        <v>0.99343478657779449</v>
      </c>
      <c r="D9">
        <f t="shared" ca="1" si="0"/>
        <v>15</v>
      </c>
      <c r="R9">
        <f t="shared" ca="1" si="1"/>
        <v>15</v>
      </c>
      <c r="S9" t="e">
        <f t="shared" ca="1" si="2"/>
        <v>#N/A</v>
      </c>
      <c r="T9" t="e">
        <f t="shared" ca="1" si="3"/>
        <v>#N/A</v>
      </c>
    </row>
    <row r="10" spans="1:20" x14ac:dyDescent="0.2">
      <c r="B10" s="2">
        <f ca="1">RND_PERFORMANCE_MODEL!B2*(0.8+RAND()*0.4)</f>
        <v>1155357.951915394</v>
      </c>
      <c r="C10" s="7">
        <f ca="1">RND_PERFORMANCE_MODEL!B3*(0.9+RAND()*0.2)</f>
        <v>0.95419117195745606</v>
      </c>
      <c r="D10">
        <f t="shared" ca="1" si="0"/>
        <v>12</v>
      </c>
      <c r="R10">
        <f t="shared" ca="1" si="1"/>
        <v>12</v>
      </c>
      <c r="S10" t="e">
        <f t="shared" ca="1" si="2"/>
        <v>#N/A</v>
      </c>
      <c r="T10" t="e">
        <f t="shared" ca="1" si="3"/>
        <v>#N/A</v>
      </c>
    </row>
    <row r="11" spans="1:20" x14ac:dyDescent="0.2">
      <c r="B11" s="2">
        <f ca="1">RND_PERFORMANCE_MODEL!B2*(0.8+RAND()*0.4)</f>
        <v>1504671.7996062939</v>
      </c>
      <c r="C11" s="7">
        <f ca="1">RND_PERFORMANCE_MODEL!B3*(0.9+RAND()*0.2)</f>
        <v>0.9307001248773189</v>
      </c>
      <c r="D11">
        <f t="shared" ca="1" si="0"/>
        <v>15</v>
      </c>
      <c r="R11" t="e">
        <f t="shared" ca="1" si="1"/>
        <v>#N/A</v>
      </c>
      <c r="S11">
        <f t="shared" ca="1" si="2"/>
        <v>15</v>
      </c>
      <c r="T11" t="e">
        <f t="shared" ca="1" si="3"/>
        <v>#N/A</v>
      </c>
    </row>
    <row r="12" spans="1:20" x14ac:dyDescent="0.2">
      <c r="B12" s="2">
        <f ca="1">RND_PERFORMANCE_MODEL!B2*(0.8+RAND()*0.4)</f>
        <v>1457128.4499592518</v>
      </c>
      <c r="C12" s="7">
        <f ca="1">RND_PERFORMANCE_MODEL!B3*(0.9+RAND()*0.2)</f>
        <v>0.86030820536031583</v>
      </c>
      <c r="D12">
        <f t="shared" ca="1" si="0"/>
        <v>14</v>
      </c>
      <c r="R12" t="e">
        <f t="shared" ca="1" si="1"/>
        <v>#N/A</v>
      </c>
      <c r="S12" t="e">
        <f t="shared" ca="1" si="2"/>
        <v>#N/A</v>
      </c>
      <c r="T12">
        <f t="shared" ca="1" si="3"/>
        <v>14</v>
      </c>
    </row>
    <row r="13" spans="1:20" x14ac:dyDescent="0.2">
      <c r="B13" s="2">
        <f ca="1">RND_PERFORMANCE_MODEL!B2*(0.8+RAND()*0.4)</f>
        <v>1464051.0427329408</v>
      </c>
      <c r="C13" s="7">
        <f ca="1">RND_PERFORMANCE_MODEL!B3*(0.9+RAND()*0.2)</f>
        <v>0.99879269145378402</v>
      </c>
      <c r="D13">
        <f t="shared" ca="1" si="0"/>
        <v>16</v>
      </c>
      <c r="R13">
        <f t="shared" ca="1" si="1"/>
        <v>16</v>
      </c>
      <c r="S13" t="e">
        <f t="shared" ca="1" si="2"/>
        <v>#N/A</v>
      </c>
      <c r="T13" t="e">
        <f t="shared" ca="1" si="3"/>
        <v>#N/A</v>
      </c>
    </row>
    <row r="14" spans="1:20" x14ac:dyDescent="0.2">
      <c r="B14" s="2">
        <f ca="1">RND_PERFORMANCE_MODEL!B2*(0.8+RAND()*0.4)</f>
        <v>1592418.3241210429</v>
      </c>
      <c r="C14" s="7">
        <f ca="1">RND_PERFORMANCE_MODEL!B3*(0.9+RAND()*0.2)</f>
        <v>0.93134490760984057</v>
      </c>
      <c r="D14">
        <f t="shared" ca="1" si="0"/>
        <v>16</v>
      </c>
      <c r="R14" t="e">
        <f t="shared" ca="1" si="1"/>
        <v>#N/A</v>
      </c>
      <c r="S14">
        <f t="shared" ca="1" si="2"/>
        <v>16</v>
      </c>
      <c r="T14" t="e">
        <f t="shared" ca="1" si="3"/>
        <v>#N/A</v>
      </c>
    </row>
    <row r="15" spans="1:20" x14ac:dyDescent="0.2">
      <c r="B15" s="2">
        <f ca="1">RND_PERFORMANCE_MODEL!B2*(0.8+RAND()*0.4)</f>
        <v>1242224.6311735292</v>
      </c>
      <c r="C15" s="7">
        <f ca="1">RND_PERFORMANCE_MODEL!B3*(0.9+RAND()*0.2)</f>
        <v>0.87932992218314243</v>
      </c>
      <c r="D15">
        <f t="shared" ca="1" si="0"/>
        <v>12</v>
      </c>
      <c r="R15" t="e">
        <f t="shared" ca="1" si="1"/>
        <v>#N/A</v>
      </c>
      <c r="S15" t="e">
        <f t="shared" ca="1" si="2"/>
        <v>#N/A</v>
      </c>
      <c r="T15">
        <f t="shared" ca="1" si="3"/>
        <v>12</v>
      </c>
    </row>
    <row r="16" spans="1:20" x14ac:dyDescent="0.2">
      <c r="B16" s="2">
        <f ca="1">RND_PERFORMANCE_MODEL!B2*(0.8+RAND()*0.4)</f>
        <v>1224885.680424164</v>
      </c>
      <c r="C16" s="7">
        <f ca="1">RND_PERFORMANCE_MODEL!B3*(0.9+RAND()*0.2)</f>
        <v>0.91516770858018381</v>
      </c>
      <c r="D16">
        <f t="shared" ca="1" si="0"/>
        <v>12</v>
      </c>
      <c r="R16" t="e">
        <f t="shared" ca="1" si="1"/>
        <v>#N/A</v>
      </c>
      <c r="S16">
        <f t="shared" ca="1" si="2"/>
        <v>12</v>
      </c>
      <c r="T16" t="e">
        <f t="shared" ca="1" si="3"/>
        <v>#N/A</v>
      </c>
    </row>
    <row r="17" spans="2:20" x14ac:dyDescent="0.2">
      <c r="B17" s="2">
        <f ca="1">RND_PERFORMANCE_MODEL!B2*(0.8+RAND()*0.4)</f>
        <v>1611442.0956401736</v>
      </c>
      <c r="C17" s="7">
        <f ca="1">RND_PERFORMANCE_MODEL!B3*(0.9+RAND()*0.2)</f>
        <v>0.94185415882654189</v>
      </c>
      <c r="D17">
        <f t="shared" ca="1" si="0"/>
        <v>17</v>
      </c>
      <c r="R17" t="e">
        <f t="shared" ca="1" si="1"/>
        <v>#N/A</v>
      </c>
      <c r="S17">
        <f t="shared" ca="1" si="2"/>
        <v>17</v>
      </c>
      <c r="T17" t="e">
        <f t="shared" ca="1" si="3"/>
        <v>#N/A</v>
      </c>
    </row>
    <row r="18" spans="2:20" x14ac:dyDescent="0.2">
      <c r="B18" s="2">
        <f ca="1">RND_PERFORMANCE_MODEL!B2*(0.8+RAND()*0.4)</f>
        <v>1261671.2703069486</v>
      </c>
      <c r="C18" s="7">
        <f ca="1">RND_PERFORMANCE_MODEL!B3*(0.9+RAND()*0.2)</f>
        <v>0.84943886656908496</v>
      </c>
      <c r="D18">
        <f t="shared" ca="1" si="0"/>
        <v>12</v>
      </c>
      <c r="R18" t="e">
        <f t="shared" ca="1" si="1"/>
        <v>#N/A</v>
      </c>
      <c r="S18" t="e">
        <f t="shared" ca="1" si="2"/>
        <v>#N/A</v>
      </c>
      <c r="T18">
        <f t="shared" ca="1" si="3"/>
        <v>12</v>
      </c>
    </row>
    <row r="19" spans="2:20" x14ac:dyDescent="0.2">
      <c r="B19" s="2">
        <f ca="1">RND_PERFORMANCE_MODEL!B2*(0.8+RAND()*0.4)</f>
        <v>1659574.2610220045</v>
      </c>
      <c r="C19" s="7">
        <f ca="1">RND_PERFORMANCE_MODEL!B3*(0.9+RAND()*0.2)</f>
        <v>0.92598514844778679</v>
      </c>
      <c r="D19">
        <f t="shared" ca="1" si="0"/>
        <v>17</v>
      </c>
      <c r="R19" t="e">
        <f t="shared" ca="1" si="1"/>
        <v>#N/A</v>
      </c>
      <c r="S19">
        <f t="shared" ca="1" si="2"/>
        <v>17</v>
      </c>
      <c r="T19" t="e">
        <f t="shared" ca="1" si="3"/>
        <v>#N/A</v>
      </c>
    </row>
    <row r="20" spans="2:20" x14ac:dyDescent="0.2">
      <c r="B20" s="2">
        <f ca="1">RND_PERFORMANCE_MODEL!B2*(0.8+RAND()*0.4)</f>
        <v>1391215.7233717695</v>
      </c>
      <c r="C20" s="7">
        <f ca="1">RND_PERFORMANCE_MODEL!B3*(0.9+RAND()*0.2)</f>
        <v>0.89603035272703657</v>
      </c>
      <c r="D20">
        <f t="shared" ca="1" si="0"/>
        <v>14</v>
      </c>
      <c r="R20" t="e">
        <f t="shared" ca="1" si="1"/>
        <v>#N/A</v>
      </c>
      <c r="S20" t="e">
        <f t="shared" ca="1" si="2"/>
        <v>#N/A</v>
      </c>
      <c r="T20">
        <f t="shared" ca="1" si="3"/>
        <v>14</v>
      </c>
    </row>
    <row r="21" spans="2:20" x14ac:dyDescent="0.2">
      <c r="B21" s="2">
        <f ca="1">RND_PERFORMANCE_MODEL!B2*(0.8+RAND()*0.4)</f>
        <v>1435355.8745544902</v>
      </c>
      <c r="C21" s="7">
        <f ca="1">RND_PERFORMANCE_MODEL!B3*(0.9+RAND()*0.2)</f>
        <v>0.95424073489959316</v>
      </c>
      <c r="D21">
        <f t="shared" ca="1" si="0"/>
        <v>15</v>
      </c>
      <c r="R21">
        <f t="shared" ca="1" si="1"/>
        <v>15</v>
      </c>
      <c r="S21" t="e">
        <f t="shared" ca="1" si="2"/>
        <v>#N/A</v>
      </c>
      <c r="T21" t="e">
        <f t="shared" ca="1" si="3"/>
        <v>#N/A</v>
      </c>
    </row>
    <row r="22" spans="2:20" x14ac:dyDescent="0.2">
      <c r="B22" s="2">
        <f ca="1">RND_PERFORMANCE_MODEL!B2*(0.8+RAND()*0.4)</f>
        <v>1121463.2401102728</v>
      </c>
      <c r="C22" s="7">
        <f ca="1">RND_PERFORMANCE_MODEL!B3*(0.9+RAND()*0.2)</f>
        <v>0.87197674224853994</v>
      </c>
      <c r="D22">
        <f t="shared" ca="1" si="0"/>
        <v>11</v>
      </c>
      <c r="R22" t="e">
        <f t="shared" ca="1" si="1"/>
        <v>#N/A</v>
      </c>
      <c r="S22" t="e">
        <f t="shared" ca="1" si="2"/>
        <v>#N/A</v>
      </c>
      <c r="T22">
        <f t="shared" ca="1" si="3"/>
        <v>11</v>
      </c>
    </row>
    <row r="23" spans="2:20" x14ac:dyDescent="0.2">
      <c r="B23" s="2">
        <f ca="1">RND_PERFORMANCE_MODEL!B2*(0.8+RAND()*0.4)</f>
        <v>1259874.4367020533</v>
      </c>
      <c r="C23" s="7">
        <f ca="1">RND_PERFORMANCE_MODEL!B3*(0.9+RAND()*0.2)</f>
        <v>0.94360421359463809</v>
      </c>
      <c r="D23">
        <f t="shared" ca="1" si="0"/>
        <v>13</v>
      </c>
      <c r="R23" t="e">
        <f t="shared" ca="1" si="1"/>
        <v>#N/A</v>
      </c>
      <c r="S23">
        <f t="shared" ca="1" si="2"/>
        <v>13</v>
      </c>
      <c r="T23" t="e">
        <f t="shared" ca="1" si="3"/>
        <v>#N/A</v>
      </c>
    </row>
    <row r="24" spans="2:20" x14ac:dyDescent="0.2">
      <c r="B24" s="2">
        <f ca="1">RND_PERFORMANCE_MODEL!B2*(0.8+RAND()*0.4)</f>
        <v>1658385.7886066206</v>
      </c>
      <c r="C24" s="7">
        <f ca="1">RND_PERFORMANCE_MODEL!B3*(0.9+RAND()*0.2)</f>
        <v>1.0093457797876046</v>
      </c>
      <c r="D24">
        <f t="shared" ca="1" si="0"/>
        <v>18</v>
      </c>
      <c r="R24">
        <f t="shared" ca="1" si="1"/>
        <v>18</v>
      </c>
      <c r="S24" t="e">
        <f t="shared" ca="1" si="2"/>
        <v>#N/A</v>
      </c>
      <c r="T24" t="e">
        <f t="shared" ca="1" si="3"/>
        <v>#N/A</v>
      </c>
    </row>
    <row r="25" spans="2:20" x14ac:dyDescent="0.2">
      <c r="B25" s="2">
        <f ca="1">RND_PERFORMANCE_MODEL!B2*(0.8+RAND()*0.4)</f>
        <v>1495234.101122142</v>
      </c>
      <c r="C25" s="7">
        <f ca="1">RND_PERFORMANCE_MODEL!B3*(0.9+RAND()*0.2)</f>
        <v>0.98166358227344341</v>
      </c>
      <c r="D25">
        <f t="shared" ca="1" si="0"/>
        <v>16</v>
      </c>
      <c r="R25">
        <f t="shared" ca="1" si="1"/>
        <v>16</v>
      </c>
      <c r="S25" t="e">
        <f t="shared" ca="1" si="2"/>
        <v>#N/A</v>
      </c>
      <c r="T25" t="e">
        <f t="shared" ca="1" si="3"/>
        <v>#N/A</v>
      </c>
    </row>
    <row r="26" spans="2:20" x14ac:dyDescent="0.2">
      <c r="B26" s="2">
        <f ca="1">RND_PERFORMANCE_MODEL!B2*(0.8+RAND()*0.4)</f>
        <v>1628229.0763725268</v>
      </c>
      <c r="C26" s="7">
        <f ca="1">RND_PERFORMANCE_MODEL!B3*(0.9+RAND()*0.2)</f>
        <v>0.90280227160724746</v>
      </c>
      <c r="D26">
        <f t="shared" ca="1" si="0"/>
        <v>16</v>
      </c>
      <c r="R26" t="e">
        <f t="shared" ca="1" si="1"/>
        <v>#N/A</v>
      </c>
      <c r="S26">
        <f t="shared" ca="1" si="2"/>
        <v>16</v>
      </c>
      <c r="T26" t="e">
        <f t="shared" ca="1" si="3"/>
        <v>#N/A</v>
      </c>
    </row>
    <row r="27" spans="2:20" x14ac:dyDescent="0.2">
      <c r="B27" s="2">
        <f ca="1">RND_PERFORMANCE_MODEL!B2*(0.8+RAND()*0.4)</f>
        <v>1328416.4709182426</v>
      </c>
      <c r="C27" s="7">
        <f ca="1">RND_PERFORMANCE_MODEL!B3*(0.9+RAND()*0.2)</f>
        <v>0.92387179434397415</v>
      </c>
      <c r="D27">
        <f t="shared" ca="1" si="0"/>
        <v>14</v>
      </c>
      <c r="R27" t="e">
        <f t="shared" ca="1" si="1"/>
        <v>#N/A</v>
      </c>
      <c r="S27">
        <f t="shared" ca="1" si="2"/>
        <v>14</v>
      </c>
      <c r="T27" t="e">
        <f t="shared" ca="1" si="3"/>
        <v>#N/A</v>
      </c>
    </row>
    <row r="28" spans="2:20" x14ac:dyDescent="0.2">
      <c r="B28" s="2">
        <f ca="1">RND_PERFORMANCE_MODEL!B2*(0.8+RAND()*0.4)</f>
        <v>1297552.6175688962</v>
      </c>
      <c r="C28" s="7">
        <f ca="1">RND_PERFORMANCE_MODEL!B3*(0.9+RAND()*0.2)</f>
        <v>1.0093194934097398</v>
      </c>
      <c r="D28">
        <f t="shared" ca="1" si="0"/>
        <v>14</v>
      </c>
      <c r="R28">
        <f t="shared" ca="1" si="1"/>
        <v>14</v>
      </c>
      <c r="S28" t="e">
        <f t="shared" ca="1" si="2"/>
        <v>#N/A</v>
      </c>
      <c r="T28" t="e">
        <f t="shared" ca="1" si="3"/>
        <v>#N/A</v>
      </c>
    </row>
    <row r="29" spans="2:20" x14ac:dyDescent="0.2">
      <c r="B29" s="2">
        <f ca="1">RND_PERFORMANCE_MODEL!B2*(0.8+RAND()*0.4)</f>
        <v>1570602.9803800338</v>
      </c>
      <c r="C29" s="7">
        <f ca="1">RND_PERFORMANCE_MODEL!B3*(0.9+RAND()*0.2)</f>
        <v>0.99753436316206745</v>
      </c>
      <c r="D29">
        <f t="shared" ca="1" si="0"/>
        <v>17</v>
      </c>
      <c r="R29">
        <f t="shared" ca="1" si="1"/>
        <v>17</v>
      </c>
      <c r="S29" t="e">
        <f t="shared" ca="1" si="2"/>
        <v>#N/A</v>
      </c>
      <c r="T29" t="e">
        <f t="shared" ca="1" si="3"/>
        <v>#N/A</v>
      </c>
    </row>
    <row r="30" spans="2:20" x14ac:dyDescent="0.2">
      <c r="B30" s="2">
        <f ca="1">RND_PERFORMANCE_MODEL!B2*(0.8+RAND()*0.4)</f>
        <v>1604647.6288987237</v>
      </c>
      <c r="C30" s="7">
        <f ca="1">RND_PERFORMANCE_MODEL!B3*(0.9+RAND()*0.2)</f>
        <v>0.96969607648847034</v>
      </c>
      <c r="D30">
        <f t="shared" ca="1" si="0"/>
        <v>17</v>
      </c>
      <c r="R30">
        <f t="shared" ca="1" si="1"/>
        <v>17</v>
      </c>
      <c r="S30" t="e">
        <f t="shared" ca="1" si="2"/>
        <v>#N/A</v>
      </c>
      <c r="T30" t="e">
        <f t="shared" ca="1" si="3"/>
        <v>#N/A</v>
      </c>
    </row>
    <row r="31" spans="2:20" x14ac:dyDescent="0.2">
      <c r="B31" s="2">
        <f ca="1">RND_PERFORMANCE_MODEL!B2*(0.8+RAND()*0.4)</f>
        <v>1621998.6681557435</v>
      </c>
      <c r="C31" s="7">
        <f ca="1">RND_PERFORMANCE_MODEL!B3*(0.9+RAND()*0.2)</f>
        <v>0.91335792566641327</v>
      </c>
      <c r="D31">
        <f t="shared" ca="1" si="0"/>
        <v>16</v>
      </c>
      <c r="R31" t="e">
        <f t="shared" ca="1" si="1"/>
        <v>#N/A</v>
      </c>
      <c r="S31">
        <f t="shared" ca="1" si="2"/>
        <v>16</v>
      </c>
      <c r="T31" t="e">
        <f t="shared" ca="1" si="3"/>
        <v>#N/A</v>
      </c>
    </row>
    <row r="32" spans="2:20" x14ac:dyDescent="0.2">
      <c r="B32" s="2">
        <f ca="1">RND_PERFORMANCE_MODEL!B2*(0.8+RAND()*0.4)</f>
        <v>1291147.0012992786</v>
      </c>
      <c r="C32" s="7">
        <f ca="1">RND_PERFORMANCE_MODEL!B3*(0.9+RAND()*0.2)</f>
        <v>0.85682961037921623</v>
      </c>
      <c r="D32">
        <f t="shared" ca="1" si="0"/>
        <v>12</v>
      </c>
      <c r="R32" t="e">
        <f t="shared" ca="1" si="1"/>
        <v>#N/A</v>
      </c>
      <c r="S32" t="e">
        <f t="shared" ca="1" si="2"/>
        <v>#N/A</v>
      </c>
      <c r="T32">
        <f t="shared" ca="1" si="3"/>
        <v>12</v>
      </c>
    </row>
    <row r="33" spans="2:20" x14ac:dyDescent="0.2">
      <c r="B33" s="2">
        <f ca="1">RND_PERFORMANCE_MODEL!B2*(0.8+RAND()*0.4)</f>
        <v>1652002.1770794999</v>
      </c>
      <c r="C33" s="7">
        <f ca="1">RND_PERFORMANCE_MODEL!B3*(0.9+RAND()*0.2)</f>
        <v>0.96373317391341451</v>
      </c>
      <c r="D33">
        <f t="shared" ca="1" si="0"/>
        <v>18</v>
      </c>
      <c r="R33">
        <f t="shared" ca="1" si="1"/>
        <v>18</v>
      </c>
      <c r="S33" t="e">
        <f t="shared" ca="1" si="2"/>
        <v>#N/A</v>
      </c>
      <c r="T33" t="e">
        <f t="shared" ca="1" si="3"/>
        <v>#N/A</v>
      </c>
    </row>
    <row r="34" spans="2:20" x14ac:dyDescent="0.2">
      <c r="B34" s="2">
        <f ca="1">RND_PERFORMANCE_MODEL!B2*(0.8+RAND()*0.4)</f>
        <v>1595415.4732625841</v>
      </c>
      <c r="C34" s="7">
        <f ca="1">RND_PERFORMANCE_MODEL!B3*(0.9+RAND()*0.2)</f>
        <v>0.94306161313064396</v>
      </c>
      <c r="D34">
        <f t="shared" ref="D34:D51" ca="1" si="4">ROUND((B34 /100000)*(C34*1.1),0)</f>
        <v>17</v>
      </c>
      <c r="R34" t="e">
        <f t="shared" ref="R34:R51" ca="1" si="5">IF(C34&gt;=0.95, D34, NA())</f>
        <v>#N/A</v>
      </c>
      <c r="S34">
        <f t="shared" ref="S34:S51" ca="1" si="6">IF(AND(C34&lt;0.95, C34&gt;=0.9), D34, NA())</f>
        <v>17</v>
      </c>
      <c r="T34" t="e">
        <f t="shared" ref="T34:T51" ca="1" si="7">IF(C34&lt;0.9, D34, NA())</f>
        <v>#N/A</v>
      </c>
    </row>
    <row r="35" spans="2:20" x14ac:dyDescent="0.2">
      <c r="B35" s="2">
        <f ca="1">RND_PERFORMANCE_MODEL!B2*(0.8+RAND()*0.4)</f>
        <v>1144669.9167121116</v>
      </c>
      <c r="C35" s="7">
        <f ca="1">RND_PERFORMANCE_MODEL!B3*(0.9+RAND()*0.2)</f>
        <v>0.9591124380008651</v>
      </c>
      <c r="D35">
        <f t="shared" ca="1" si="4"/>
        <v>12</v>
      </c>
      <c r="R35">
        <f t="shared" ca="1" si="5"/>
        <v>12</v>
      </c>
      <c r="S35" t="e">
        <f t="shared" ca="1" si="6"/>
        <v>#N/A</v>
      </c>
      <c r="T35" t="e">
        <f t="shared" ca="1" si="7"/>
        <v>#N/A</v>
      </c>
    </row>
    <row r="36" spans="2:20" x14ac:dyDescent="0.2">
      <c r="B36" s="2">
        <f ca="1">RND_PERFORMANCE_MODEL!B2*(0.8+RAND()*0.4)</f>
        <v>1632152.4156709872</v>
      </c>
      <c r="C36" s="7">
        <f ca="1">RND_PERFORMANCE_MODEL!B3*(0.9+RAND()*0.2)</f>
        <v>0.95299355752635961</v>
      </c>
      <c r="D36">
        <f t="shared" ca="1" si="4"/>
        <v>17</v>
      </c>
      <c r="R36">
        <f t="shared" ca="1" si="5"/>
        <v>17</v>
      </c>
      <c r="S36" t="e">
        <f t="shared" ca="1" si="6"/>
        <v>#N/A</v>
      </c>
      <c r="T36" t="e">
        <f t="shared" ca="1" si="7"/>
        <v>#N/A</v>
      </c>
    </row>
    <row r="37" spans="2:20" x14ac:dyDescent="0.2">
      <c r="B37" s="2">
        <f ca="1">RND_PERFORMANCE_MODEL!B2*(0.8+RAND()*0.4)</f>
        <v>1279135.2780628605</v>
      </c>
      <c r="C37" s="7">
        <f ca="1">RND_PERFORMANCE_MODEL!B3*(0.9+RAND()*0.2)</f>
        <v>0.95536701009794756</v>
      </c>
      <c r="D37">
        <f t="shared" ca="1" si="4"/>
        <v>13</v>
      </c>
      <c r="R37">
        <f t="shared" ca="1" si="5"/>
        <v>13</v>
      </c>
      <c r="S37" t="e">
        <f t="shared" ca="1" si="6"/>
        <v>#N/A</v>
      </c>
      <c r="T37" t="e">
        <f t="shared" ca="1" si="7"/>
        <v>#N/A</v>
      </c>
    </row>
    <row r="38" spans="2:20" x14ac:dyDescent="0.2">
      <c r="B38" s="2">
        <f ca="1">RND_PERFORMANCE_MODEL!B2*(0.8+RAND()*0.4)</f>
        <v>1495802.6582832688</v>
      </c>
      <c r="C38" s="7">
        <f ca="1">RND_PERFORMANCE_MODEL!B3*(0.9+RAND()*0.2)</f>
        <v>0.99508399621284993</v>
      </c>
      <c r="D38">
        <f t="shared" ca="1" si="4"/>
        <v>16</v>
      </c>
      <c r="R38">
        <f t="shared" ca="1" si="5"/>
        <v>16</v>
      </c>
      <c r="S38" t="e">
        <f t="shared" ca="1" si="6"/>
        <v>#N/A</v>
      </c>
      <c r="T38" t="e">
        <f t="shared" ca="1" si="7"/>
        <v>#N/A</v>
      </c>
    </row>
    <row r="39" spans="2:20" x14ac:dyDescent="0.2">
      <c r="B39" s="2">
        <f ca="1">RND_PERFORMANCE_MODEL!B2*(0.8+RAND()*0.4)</f>
        <v>1188736.4225768205</v>
      </c>
      <c r="C39" s="7">
        <f ca="1">RND_PERFORMANCE_MODEL!B3*(0.9+RAND()*0.2)</f>
        <v>1.011774174498457</v>
      </c>
      <c r="D39">
        <f t="shared" ca="1" si="4"/>
        <v>13</v>
      </c>
      <c r="R39">
        <f t="shared" ca="1" si="5"/>
        <v>13</v>
      </c>
      <c r="S39" t="e">
        <f t="shared" ca="1" si="6"/>
        <v>#N/A</v>
      </c>
      <c r="T39" t="e">
        <f t="shared" ca="1" si="7"/>
        <v>#N/A</v>
      </c>
    </row>
    <row r="40" spans="2:20" x14ac:dyDescent="0.2">
      <c r="B40" s="2">
        <f ca="1">RND_PERFORMANCE_MODEL!B2*(0.8+RAND()*0.4)</f>
        <v>1582449.7911573597</v>
      </c>
      <c r="C40" s="7">
        <f ca="1">RND_PERFORMANCE_MODEL!B3*(0.9+RAND()*0.2)</f>
        <v>0.8453217300924093</v>
      </c>
      <c r="D40">
        <f t="shared" ca="1" si="4"/>
        <v>15</v>
      </c>
      <c r="R40" t="e">
        <f t="shared" ca="1" si="5"/>
        <v>#N/A</v>
      </c>
      <c r="S40" t="e">
        <f t="shared" ca="1" si="6"/>
        <v>#N/A</v>
      </c>
      <c r="T40">
        <f t="shared" ca="1" si="7"/>
        <v>15</v>
      </c>
    </row>
    <row r="41" spans="2:20" x14ac:dyDescent="0.2">
      <c r="B41" s="2">
        <f ca="1">RND_PERFORMANCE_MODEL!B2*(0.8+RAND()*0.4)</f>
        <v>1361349.8273990264</v>
      </c>
      <c r="C41" s="7">
        <f ca="1">RND_PERFORMANCE_MODEL!B3*(0.9+RAND()*0.2)</f>
        <v>0.96360122144367255</v>
      </c>
      <c r="D41">
        <f t="shared" ca="1" si="4"/>
        <v>14</v>
      </c>
      <c r="R41">
        <f t="shared" ca="1" si="5"/>
        <v>14</v>
      </c>
      <c r="S41" t="e">
        <f t="shared" ca="1" si="6"/>
        <v>#N/A</v>
      </c>
      <c r="T41" t="e">
        <f t="shared" ca="1" si="7"/>
        <v>#N/A</v>
      </c>
    </row>
    <row r="42" spans="2:20" x14ac:dyDescent="0.2">
      <c r="B42" s="2">
        <f ca="1">RND_PERFORMANCE_MODEL!B2*(0.8+RAND()*0.4)</f>
        <v>1423777.243442859</v>
      </c>
      <c r="C42" s="7">
        <f ca="1">RND_PERFORMANCE_MODEL!B3*(0.9+RAND()*0.2)</f>
        <v>0.85998884605451464</v>
      </c>
      <c r="D42">
        <f t="shared" ca="1" si="4"/>
        <v>13</v>
      </c>
      <c r="R42" t="e">
        <f t="shared" ca="1" si="5"/>
        <v>#N/A</v>
      </c>
      <c r="S42" t="e">
        <f t="shared" ca="1" si="6"/>
        <v>#N/A</v>
      </c>
      <c r="T42">
        <f t="shared" ca="1" si="7"/>
        <v>13</v>
      </c>
    </row>
    <row r="43" spans="2:20" x14ac:dyDescent="0.2">
      <c r="B43" s="2">
        <f ca="1">RND_PERFORMANCE_MODEL!B2*(0.8+RAND()*0.4)</f>
        <v>1295661.6019733751</v>
      </c>
      <c r="C43" s="7">
        <f ca="1">RND_PERFORMANCE_MODEL!B3*(0.9+RAND()*0.2)</f>
        <v>1.0055085203738694</v>
      </c>
      <c r="D43">
        <f t="shared" ca="1" si="4"/>
        <v>14</v>
      </c>
      <c r="R43">
        <f t="shared" ca="1" si="5"/>
        <v>14</v>
      </c>
      <c r="S43" t="e">
        <f t="shared" ca="1" si="6"/>
        <v>#N/A</v>
      </c>
      <c r="T43" t="e">
        <f t="shared" ca="1" si="7"/>
        <v>#N/A</v>
      </c>
    </row>
    <row r="44" spans="2:20" x14ac:dyDescent="0.2">
      <c r="B44" s="2">
        <f ca="1">RND_PERFORMANCE_MODEL!B2*(0.8+RAND()*0.4)</f>
        <v>1561242.5601829598</v>
      </c>
      <c r="C44" s="7">
        <f ca="1">RND_PERFORMANCE_MODEL!B3*(0.9+RAND()*0.2)</f>
        <v>0.94569718394890456</v>
      </c>
      <c r="D44">
        <f t="shared" ca="1" si="4"/>
        <v>16</v>
      </c>
      <c r="R44" t="e">
        <f t="shared" ca="1" si="5"/>
        <v>#N/A</v>
      </c>
      <c r="S44">
        <f t="shared" ca="1" si="6"/>
        <v>16</v>
      </c>
      <c r="T44" t="e">
        <f t="shared" ca="1" si="7"/>
        <v>#N/A</v>
      </c>
    </row>
    <row r="45" spans="2:20" x14ac:dyDescent="0.2">
      <c r="B45" s="2">
        <f ca="1">RND_PERFORMANCE_MODEL!B2*(0.8+RAND()*0.4)</f>
        <v>1176296.8145315775</v>
      </c>
      <c r="C45" s="7">
        <f ca="1">RND_PERFORMANCE_MODEL!B3*(0.9+RAND()*0.2)</f>
        <v>0.85965792214283332</v>
      </c>
      <c r="D45">
        <f t="shared" ca="1" si="4"/>
        <v>11</v>
      </c>
      <c r="R45" t="e">
        <f t="shared" ca="1" si="5"/>
        <v>#N/A</v>
      </c>
      <c r="S45" t="e">
        <f t="shared" ca="1" si="6"/>
        <v>#N/A</v>
      </c>
      <c r="T45">
        <f t="shared" ca="1" si="7"/>
        <v>11</v>
      </c>
    </row>
    <row r="46" spans="2:20" x14ac:dyDescent="0.2">
      <c r="B46" s="2">
        <f ca="1">RND_PERFORMANCE_MODEL!B2*(0.8+RAND()*0.4)</f>
        <v>1168662.9925682601</v>
      </c>
      <c r="C46" s="7">
        <f ca="1">RND_PERFORMANCE_MODEL!B3*(0.9+RAND()*0.2)</f>
        <v>0.92915546426491225</v>
      </c>
      <c r="D46">
        <f t="shared" ca="1" si="4"/>
        <v>12</v>
      </c>
      <c r="R46" t="e">
        <f t="shared" ca="1" si="5"/>
        <v>#N/A</v>
      </c>
      <c r="S46">
        <f t="shared" ca="1" si="6"/>
        <v>12</v>
      </c>
      <c r="T46" t="e">
        <f t="shared" ca="1" si="7"/>
        <v>#N/A</v>
      </c>
    </row>
    <row r="47" spans="2:20" x14ac:dyDescent="0.2">
      <c r="B47" s="2">
        <f ca="1">RND_PERFORMANCE_MODEL!B2*(0.8+RAND()*0.4)</f>
        <v>1543715.6634784879</v>
      </c>
      <c r="C47" s="7">
        <f ca="1">RND_PERFORMANCE_MODEL!B3*(0.9+RAND()*0.2)</f>
        <v>0.93813677903786874</v>
      </c>
      <c r="D47">
        <f t="shared" ca="1" si="4"/>
        <v>16</v>
      </c>
      <c r="R47" t="e">
        <f t="shared" ca="1" si="5"/>
        <v>#N/A</v>
      </c>
      <c r="S47">
        <f t="shared" ca="1" si="6"/>
        <v>16</v>
      </c>
      <c r="T47" t="e">
        <f t="shared" ca="1" si="7"/>
        <v>#N/A</v>
      </c>
    </row>
    <row r="48" spans="2:20" x14ac:dyDescent="0.2">
      <c r="B48" s="2">
        <f ca="1">RND_PERFORMANCE_MODEL!B2*(0.8+RAND()*0.4)</f>
        <v>1644877.351929686</v>
      </c>
      <c r="C48" s="7">
        <f ca="1">RND_PERFORMANCE_MODEL!B3*(0.9+RAND()*0.2)</f>
        <v>0.95867249664393106</v>
      </c>
      <c r="D48">
        <f t="shared" ca="1" si="4"/>
        <v>17</v>
      </c>
      <c r="R48">
        <f t="shared" ca="1" si="5"/>
        <v>17</v>
      </c>
      <c r="S48" t="e">
        <f t="shared" ca="1" si="6"/>
        <v>#N/A</v>
      </c>
      <c r="T48" t="e">
        <f t="shared" ca="1" si="7"/>
        <v>#N/A</v>
      </c>
    </row>
    <row r="49" spans="2:20" x14ac:dyDescent="0.2">
      <c r="B49" s="2">
        <f ca="1">RND_PERFORMANCE_MODEL!B2*(0.8+RAND()*0.4)</f>
        <v>1437118.8588168931</v>
      </c>
      <c r="C49" s="7">
        <f ca="1">RND_PERFORMANCE_MODEL!B3*(0.9+RAND()*0.2)</f>
        <v>0.99335612939576279</v>
      </c>
      <c r="D49">
        <f t="shared" ca="1" si="4"/>
        <v>16</v>
      </c>
      <c r="R49">
        <f t="shared" ca="1" si="5"/>
        <v>16</v>
      </c>
      <c r="S49" t="e">
        <f t="shared" ca="1" si="6"/>
        <v>#N/A</v>
      </c>
      <c r="T49" t="e">
        <f t="shared" ca="1" si="7"/>
        <v>#N/A</v>
      </c>
    </row>
    <row r="50" spans="2:20" x14ac:dyDescent="0.2">
      <c r="B50" s="2">
        <f ca="1">RND_PERFORMANCE_MODEL!B2*(0.8+RAND()*0.4)</f>
        <v>1277660.9553682618</v>
      </c>
      <c r="C50" s="7">
        <f ca="1">RND_PERFORMANCE_MODEL!B3*(0.9+RAND()*0.2)</f>
        <v>0.92182347039301493</v>
      </c>
      <c r="D50">
        <f t="shared" ca="1" si="4"/>
        <v>13</v>
      </c>
      <c r="R50" t="e">
        <f t="shared" ca="1" si="5"/>
        <v>#N/A</v>
      </c>
      <c r="S50">
        <f t="shared" ca="1" si="6"/>
        <v>13</v>
      </c>
      <c r="T50" t="e">
        <f t="shared" ca="1" si="7"/>
        <v>#N/A</v>
      </c>
    </row>
    <row r="51" spans="2:20" x14ac:dyDescent="0.2">
      <c r="B51" s="2">
        <f ca="1">RND_PERFORMANCE_MODEL!B2*(0.8+RAND()*0.4)</f>
        <v>1602919.1708957038</v>
      </c>
      <c r="C51" s="7">
        <f ca="1">RND_PERFORMANCE_MODEL!B3*(0.9+RAND()*0.2)</f>
        <v>0.88446396828671325</v>
      </c>
      <c r="D51">
        <f t="shared" ca="1" si="4"/>
        <v>16</v>
      </c>
      <c r="R51" t="e">
        <f t="shared" ca="1" si="5"/>
        <v>#N/A</v>
      </c>
      <c r="S51" t="e">
        <f t="shared" ca="1" si="6"/>
        <v>#N/A</v>
      </c>
      <c r="T51">
        <f t="shared" ca="1" si="7"/>
        <v>16</v>
      </c>
    </row>
  </sheetData>
  <sortState xmlns:xlrd2="http://schemas.microsoft.com/office/spreadsheetml/2017/richdata2" ref="B2:D54">
    <sortCondition descending="1" ref="B2:B54"/>
  </sortState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C8"/>
  <sheetViews>
    <sheetView showGridLines="0" workbookViewId="0">
      <selection activeCell="B7" sqref="B7"/>
    </sheetView>
  </sheetViews>
  <sheetFormatPr baseColWidth="10" defaultColWidth="8.83203125" defaultRowHeight="15" x14ac:dyDescent="0.2"/>
  <cols>
    <col min="1" max="1" width="24.33203125" style="1" bestFit="1" customWidth="1"/>
    <col min="2" max="2" width="12.6640625" bestFit="1" customWidth="1"/>
    <col min="3" max="3" width="15.33203125" bestFit="1" customWidth="1"/>
  </cols>
  <sheetData>
    <row r="1" spans="1:3" x14ac:dyDescent="0.2">
      <c r="A1" s="52" t="s">
        <v>80</v>
      </c>
      <c r="B1" s="53" t="s">
        <v>74</v>
      </c>
      <c r="C1" s="53" t="s">
        <v>81</v>
      </c>
    </row>
    <row r="2" spans="1:3" x14ac:dyDescent="0.2">
      <c r="A2" s="30" t="s">
        <v>51</v>
      </c>
      <c r="B2" s="48">
        <f>OPERATIONAL_SIMULATOR!B7 + RND_PERFORMANCE_MODEL!B2 + OPERATIONAL_SIMULATOR!B8</f>
        <v>11175000</v>
      </c>
      <c r="C2" s="22" t="s">
        <v>39</v>
      </c>
    </row>
    <row r="3" spans="1:3" x14ac:dyDescent="0.2">
      <c r="A3" s="30" t="s">
        <v>23</v>
      </c>
      <c r="B3" s="25">
        <f>OPERATIONAL_SIMULATOR!B7 + (MARKET_BENCHMARK!C7 * (1 - RND_PERFORMANCE_MODEL!B4))</f>
        <v>8860000</v>
      </c>
      <c r="C3" s="22" t="s">
        <v>38</v>
      </c>
    </row>
    <row r="4" spans="1:3" x14ac:dyDescent="0.2">
      <c r="A4" s="30" t="s">
        <v>22</v>
      </c>
      <c r="B4" s="49">
        <f>RND_PERFORMANCE_MODEL!B2</f>
        <v>1400000</v>
      </c>
      <c r="C4" s="22" t="s">
        <v>37</v>
      </c>
    </row>
    <row r="5" spans="1:3" x14ac:dyDescent="0.2">
      <c r="A5" s="30" t="s">
        <v>33</v>
      </c>
      <c r="B5" s="50">
        <f>RND_PERFORMANCE_MODEL!B6</f>
        <v>14</v>
      </c>
      <c r="C5" s="22" t="s">
        <v>24</v>
      </c>
    </row>
    <row r="6" spans="1:3" x14ac:dyDescent="0.2">
      <c r="A6" s="30" t="s">
        <v>35</v>
      </c>
      <c r="B6" s="22">
        <v>17</v>
      </c>
      <c r="C6" s="23" t="s">
        <v>53</v>
      </c>
    </row>
    <row r="7" spans="1:3" x14ac:dyDescent="0.2">
      <c r="A7" s="30" t="s">
        <v>34</v>
      </c>
      <c r="B7" s="22">
        <f>(B5*B6)</f>
        <v>238</v>
      </c>
      <c r="C7" s="22" t="s">
        <v>8</v>
      </c>
    </row>
    <row r="8" spans="1:3" x14ac:dyDescent="0.2">
      <c r="A8" s="31" t="s">
        <v>25</v>
      </c>
      <c r="B8" s="51">
        <f>((B5 * 17) / B2) * 1000000</f>
        <v>21.297539149888141</v>
      </c>
      <c r="C8" s="26" t="s">
        <v>36</v>
      </c>
    </row>
  </sheetData>
  <hyperlinks>
    <hyperlink ref="B4" location="RND_PERFORMANCE_MODEL!B2" display="RND_PERFORMANCE_MODEL!B2" xr:uid="{6C8FC3A9-C1E7-E745-B692-5633CB806D3E}"/>
    <hyperlink ref="B5" location="RND_PERFORMANCE_MODEL!B6" display="RND_PERFORMANCE_MODEL!B6" xr:uid="{C091D48C-83D8-BB44-869F-46DFB988773C}"/>
    <hyperlink ref="C6" r:id="rId1" xr:uid="{815721C7-378A-6D4E-AE2F-7EB5E44C35BE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MARKET_BENCHMARK</vt:lpstr>
      <vt:lpstr>OPERATIONAL_SIMULATOR</vt:lpstr>
      <vt:lpstr>RND_PERFORMANCE_MODEL</vt:lpstr>
      <vt:lpstr>HEATMAP</vt:lpstr>
      <vt:lpstr>MONTE_CARLO_SIM</vt:lpstr>
      <vt:lpstr>EXECUTIVE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ANDREA MOLINARI</cp:lastModifiedBy>
  <dcterms:created xsi:type="dcterms:W3CDTF">2026-03-04T14:24:14Z</dcterms:created>
  <dcterms:modified xsi:type="dcterms:W3CDTF">2026-05-05T12:37:34Z</dcterms:modified>
</cp:coreProperties>
</file>