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dreasss/Desktop/"/>
    </mc:Choice>
  </mc:AlternateContent>
  <xr:revisionPtr revIDLastSave="0" documentId="13_ncr:1_{65FB1662-FB73-8242-B617-6897A7196834}" xr6:coauthVersionLast="47" xr6:coauthVersionMax="47" xr10:uidLastSave="{00000000-0000-0000-0000-000000000000}"/>
  <bookViews>
    <workbookView xWindow="11500" yWindow="680" windowWidth="18740" windowHeight="17740" firstSheet="1" activeTab="1" xr2:uid="{00000000-000D-0000-FFFF-FFFF00000000}"/>
  </bookViews>
  <sheets>
    <sheet name="MARKET_BENCHMARK" sheetId="1" r:id="rId1"/>
    <sheet name="OPERATIONAL_SIMULATOR" sheetId="2" r:id="rId2"/>
    <sheet name="RND_PERFORMANCE_MODEL" sheetId="3" r:id="rId3"/>
    <sheet name="HEATMAP" sheetId="7" r:id="rId4"/>
    <sheet name="MONTE_CARLO_SIM" sheetId="4" r:id="rId5"/>
    <sheet name="EXECUTIVE" sheetId="5" r:id="rId6"/>
  </sheets>
  <definedNames>
    <definedName name="_xlnm._FilterDatabase" localSheetId="4" hidden="1">MONTE_CARLO_SIM!$D$1:$D$53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5" i="7"/>
  <c r="B4" i="7"/>
  <c r="C4" i="7"/>
  <c r="D4" i="7"/>
  <c r="E4" i="7"/>
  <c r="F4" i="7"/>
  <c r="D5" i="7"/>
  <c r="E5" i="7"/>
  <c r="F5" i="7"/>
  <c r="C6" i="7"/>
  <c r="D6" i="7"/>
  <c r="E6" i="7"/>
  <c r="F6" i="7"/>
  <c r="C7" i="7"/>
  <c r="D7" i="7"/>
  <c r="E7" i="7"/>
  <c r="F7" i="7"/>
  <c r="C8" i="7"/>
  <c r="D8" i="7"/>
  <c r="E8" i="7"/>
  <c r="F8" i="7"/>
  <c r="B5" i="7"/>
  <c r="B6" i="7"/>
  <c r="B7" i="7"/>
  <c r="B8" i="7"/>
  <c r="B8" i="3"/>
  <c r="C8" i="1" s="1"/>
  <c r="C12" i="1" s="1"/>
  <c r="B4" i="4"/>
  <c r="B2" i="4"/>
  <c r="C2" i="4"/>
  <c r="B3" i="4"/>
  <c r="C3" i="4"/>
  <c r="C4" i="4"/>
  <c r="B5" i="4"/>
  <c r="C5" i="4"/>
  <c r="B6" i="4"/>
  <c r="C6" i="4"/>
  <c r="B7" i="4"/>
  <c r="C7" i="4"/>
  <c r="B8" i="4"/>
  <c r="C8" i="4"/>
  <c r="B9" i="4"/>
  <c r="C9" i="4"/>
  <c r="B10" i="4"/>
  <c r="C10" i="4"/>
  <c r="B11" i="4"/>
  <c r="C11" i="4"/>
  <c r="B12" i="4"/>
  <c r="C12" i="4"/>
  <c r="B13" i="4"/>
  <c r="C13" i="4"/>
  <c r="B14" i="4"/>
  <c r="C14" i="4"/>
  <c r="B15" i="4"/>
  <c r="C15" i="4"/>
  <c r="B16" i="4"/>
  <c r="C16" i="4"/>
  <c r="B17" i="4"/>
  <c r="C17" i="4"/>
  <c r="B18" i="4"/>
  <c r="C18" i="4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B30" i="4"/>
  <c r="C30" i="4"/>
  <c r="B31" i="4"/>
  <c r="C31" i="4"/>
  <c r="B32" i="4"/>
  <c r="C32" i="4"/>
  <c r="B33" i="4"/>
  <c r="C33" i="4"/>
  <c r="B34" i="4"/>
  <c r="C34" i="4"/>
  <c r="B35" i="4"/>
  <c r="C35" i="4"/>
  <c r="B36" i="4"/>
  <c r="C36" i="4"/>
  <c r="B37" i="4"/>
  <c r="C37" i="4"/>
  <c r="B38" i="4"/>
  <c r="C38" i="4"/>
  <c r="B39" i="4"/>
  <c r="C39" i="4"/>
  <c r="B40" i="4"/>
  <c r="C40" i="4"/>
  <c r="B41" i="4"/>
  <c r="C41" i="4"/>
  <c r="B42" i="4"/>
  <c r="C42" i="4"/>
  <c r="B43" i="4"/>
  <c r="C43" i="4"/>
  <c r="B44" i="4"/>
  <c r="C44" i="4"/>
  <c r="B45" i="4"/>
  <c r="C45" i="4"/>
  <c r="B46" i="4"/>
  <c r="C46" i="4"/>
  <c r="B47" i="4"/>
  <c r="C47" i="4"/>
  <c r="B48" i="4"/>
  <c r="C48" i="4"/>
  <c r="B49" i="4"/>
  <c r="C49" i="4"/>
  <c r="B50" i="4"/>
  <c r="C50" i="4"/>
  <c r="B51" i="4"/>
  <c r="C51" i="4"/>
  <c r="B3" i="5"/>
  <c r="B6" i="3"/>
  <c r="B5" i="5" s="1"/>
  <c r="B7" i="5" s="1"/>
  <c r="B5" i="3"/>
  <c r="B6" i="2"/>
  <c r="B4" i="5"/>
  <c r="B4" i="2"/>
  <c r="B8" i="2" l="1"/>
  <c r="B2" i="5" s="1"/>
  <c r="B8" i="5" s="1"/>
  <c r="D16" i="4"/>
  <c r="R16" i="4" s="1"/>
  <c r="D50" i="4"/>
  <c r="S50" i="4" s="1"/>
  <c r="D42" i="4"/>
  <c r="R42" i="4" s="1"/>
  <c r="D34" i="4"/>
  <c r="T34" i="4" s="1"/>
  <c r="D26" i="4"/>
  <c r="T26" i="4" s="1"/>
  <c r="D18" i="4"/>
  <c r="R18" i="4" s="1"/>
  <c r="D10" i="4"/>
  <c r="R10" i="4" s="1"/>
  <c r="D49" i="4"/>
  <c r="S49" i="4" s="1"/>
  <c r="D45" i="4"/>
  <c r="T45" i="4" s="1"/>
  <c r="D41" i="4"/>
  <c r="S41" i="4" s="1"/>
  <c r="D37" i="4"/>
  <c r="R37" i="4" s="1"/>
  <c r="D33" i="4"/>
  <c r="T33" i="4" s="1"/>
  <c r="D29" i="4"/>
  <c r="S29" i="4" s="1"/>
  <c r="D25" i="4"/>
  <c r="T25" i="4" s="1"/>
  <c r="D51" i="4"/>
  <c r="S51" i="4" s="1"/>
  <c r="D43" i="4"/>
  <c r="T43" i="4" s="1"/>
  <c r="D35" i="4"/>
  <c r="T35" i="4" s="1"/>
  <c r="D19" i="4"/>
  <c r="T19" i="4" s="1"/>
  <c r="D11" i="4"/>
  <c r="S11" i="4" s="1"/>
  <c r="D3" i="4"/>
  <c r="T3" i="4" s="1"/>
  <c r="D44" i="4"/>
  <c r="T44" i="4" s="1"/>
  <c r="D27" i="4"/>
  <c r="R27" i="4" s="1"/>
  <c r="D12" i="4"/>
  <c r="T12" i="4" s="1"/>
  <c r="D48" i="4"/>
  <c r="S48" i="4" s="1"/>
  <c r="D40" i="4"/>
  <c r="D36" i="4"/>
  <c r="T36" i="4" s="1"/>
  <c r="D32" i="4"/>
  <c r="D28" i="4"/>
  <c r="T28" i="4" s="1"/>
  <c r="D24" i="4"/>
  <c r="T24" i="4" s="1"/>
  <c r="D20" i="4"/>
  <c r="T20" i="4" s="1"/>
  <c r="D4" i="4"/>
  <c r="R4" i="4" s="1"/>
  <c r="D21" i="4"/>
  <c r="R21" i="4" s="1"/>
  <c r="D17" i="4"/>
  <c r="T17" i="4" s="1"/>
  <c r="D13" i="4"/>
  <c r="R13" i="4" s="1"/>
  <c r="D9" i="4"/>
  <c r="S9" i="4" s="1"/>
  <c r="D5" i="4"/>
  <c r="R5" i="4" s="1"/>
  <c r="D15" i="4"/>
  <c r="S15" i="4" s="1"/>
  <c r="D46" i="4"/>
  <c r="R46" i="4" s="1"/>
  <c r="D39" i="4"/>
  <c r="T39" i="4" s="1"/>
  <c r="D14" i="4"/>
  <c r="T14" i="4" s="1"/>
  <c r="D7" i="4"/>
  <c r="T7" i="4" s="1"/>
  <c r="D38" i="4"/>
  <c r="R38" i="4" s="1"/>
  <c r="D6" i="4"/>
  <c r="R6" i="4" s="1"/>
  <c r="D2" i="4"/>
  <c r="R2" i="4" s="1"/>
  <c r="D8" i="4"/>
  <c r="S8" i="4" s="1"/>
  <c r="D47" i="4"/>
  <c r="T47" i="4" s="1"/>
  <c r="D22" i="4"/>
  <c r="S22" i="4" s="1"/>
  <c r="D31" i="4"/>
  <c r="R31" i="4" s="1"/>
  <c r="D30" i="4"/>
  <c r="R30" i="4" s="1"/>
  <c r="D23" i="4"/>
  <c r="S23" i="4" s="1"/>
  <c r="B9" i="3"/>
  <c r="S45" i="4" l="1"/>
  <c r="S42" i="4"/>
  <c r="R44" i="4"/>
  <c r="S33" i="4"/>
  <c r="R3" i="4"/>
  <c r="S20" i="4"/>
  <c r="R7" i="4"/>
  <c r="S37" i="4"/>
  <c r="R49" i="4"/>
  <c r="R23" i="4"/>
  <c r="T41" i="4"/>
  <c r="S4" i="4"/>
  <c r="R14" i="4"/>
  <c r="S12" i="4"/>
  <c r="R11" i="4"/>
  <c r="R24" i="4"/>
  <c r="S38" i="4"/>
  <c r="S35" i="4"/>
  <c r="S30" i="4"/>
  <c r="S36" i="4"/>
  <c r="R15" i="4"/>
  <c r="S19" i="4"/>
  <c r="S5" i="4"/>
  <c r="S31" i="4"/>
  <c r="R47" i="4"/>
  <c r="S10" i="4"/>
  <c r="T6" i="4"/>
  <c r="R19" i="4"/>
  <c r="T51" i="4"/>
  <c r="R43" i="4"/>
  <c r="S27" i="4"/>
  <c r="R29" i="4"/>
  <c r="R36" i="4"/>
  <c r="S14" i="4"/>
  <c r="T46" i="4"/>
  <c r="R20" i="4"/>
  <c r="S7" i="4"/>
  <c r="S17" i="4"/>
  <c r="R48" i="4"/>
  <c r="S3" i="4"/>
  <c r="S6" i="4"/>
  <c r="R9" i="4"/>
  <c r="T37" i="4"/>
  <c r="R41" i="4"/>
  <c r="S25" i="4"/>
  <c r="S43" i="4"/>
  <c r="R51" i="4"/>
  <c r="R22" i="4"/>
  <c r="T8" i="4"/>
  <c r="R8" i="4"/>
  <c r="T15" i="4"/>
  <c r="R26" i="4"/>
  <c r="T5" i="4"/>
  <c r="R17" i="4"/>
  <c r="R12" i="4"/>
  <c r="R34" i="4"/>
  <c r="R25" i="4"/>
  <c r="R28" i="4"/>
  <c r="R33" i="4"/>
  <c r="S46" i="4"/>
  <c r="R45" i="4"/>
  <c r="S47" i="4"/>
  <c r="S2" i="4"/>
  <c r="R50" i="4"/>
  <c r="S40" i="4"/>
  <c r="R40" i="4"/>
  <c r="T11" i="4"/>
  <c r="S34" i="4"/>
  <c r="R35" i="4"/>
  <c r="T32" i="4"/>
  <c r="R32" i="4"/>
  <c r="S24" i="4"/>
  <c r="R39" i="4"/>
  <c r="S28" i="4"/>
  <c r="S32" i="4"/>
  <c r="T48" i="4"/>
  <c r="T31" i="4"/>
  <c r="T9" i="4"/>
  <c r="S26" i="4"/>
  <c r="T18" i="4"/>
  <c r="S18" i="4"/>
  <c r="S39" i="4"/>
  <c r="S16" i="4"/>
  <c r="T13" i="4"/>
  <c r="S13" i="4"/>
  <c r="T10" i="4"/>
  <c r="T2" i="4"/>
  <c r="T21" i="4"/>
  <c r="S21" i="4"/>
  <c r="S44" i="4"/>
  <c r="T23" i="4"/>
  <c r="T42" i="4"/>
  <c r="T4" i="4"/>
  <c r="T27" i="4"/>
  <c r="T49" i="4"/>
  <c r="T50" i="4"/>
  <c r="T40" i="4"/>
  <c r="T38" i="4"/>
  <c r="T30" i="4"/>
  <c r="T16" i="4"/>
  <c r="T29" i="4"/>
  <c r="T22" i="4"/>
</calcChain>
</file>

<file path=xl/sharedStrings.xml><?xml version="1.0" encoding="utf-8"?>
<sst xmlns="http://schemas.openxmlformats.org/spreadsheetml/2006/main" count="101" uniqueCount="83">
  <si>
    <t>Category</t>
  </si>
  <si>
    <t>Item</t>
  </si>
  <si>
    <t>Cost (USD)</t>
  </si>
  <si>
    <t>Chassis</t>
  </si>
  <si>
    <t>High</t>
  </si>
  <si>
    <t>Medium</t>
  </si>
  <si>
    <t>Engine</t>
  </si>
  <si>
    <t>HPD / Chevrolet</t>
  </si>
  <si>
    <t>Tires</t>
  </si>
  <si>
    <t>Personnel</t>
  </si>
  <si>
    <t>Industry Benchmark</t>
  </si>
  <si>
    <t>Estimate</t>
  </si>
  <si>
    <t>Logistics</t>
  </si>
  <si>
    <t>Parameter</t>
  </si>
  <si>
    <t>Input / Formula</t>
  </si>
  <si>
    <t>Notes</t>
  </si>
  <si>
    <t>Total Season Distance (km)</t>
  </si>
  <si>
    <t>Road + Oval calendar</t>
  </si>
  <si>
    <t>Fuel Cost per km (USD)</t>
  </si>
  <si>
    <t>Variable Logistics Cost</t>
  </si>
  <si>
    <t>Distance-based model</t>
  </si>
  <si>
    <t>Risk Level</t>
  </si>
  <si>
    <t>Event-based risk profile</t>
  </si>
  <si>
    <t>Crash probability matrix</t>
  </si>
  <si>
    <t>Contingency Fund</t>
  </si>
  <si>
    <t>Value</t>
  </si>
  <si>
    <t>Description</t>
  </si>
  <si>
    <t>R&amp;D Spend (USD)</t>
  </si>
  <si>
    <t>Aero + simulation + testing</t>
  </si>
  <si>
    <t>Reliability Index (0-1)</t>
  </si>
  <si>
    <t>Adjusted Ops Cost</t>
  </si>
  <si>
    <t>R&amp;D Spend</t>
  </si>
  <si>
    <t>Points Outcome</t>
  </si>
  <si>
    <t>Metric</t>
  </si>
  <si>
    <t>Interpretation</t>
  </si>
  <si>
    <t>Total Ops Cost</t>
  </si>
  <si>
    <t>Mean outcome</t>
  </si>
  <si>
    <t>Performance-per-Dollar (PPD)</t>
  </si>
  <si>
    <t>Low</t>
  </si>
  <si>
    <t>Contingency (%)</t>
  </si>
  <si>
    <t>AI Predictive Savings (%)</t>
  </si>
  <si>
    <t>Crew</t>
  </si>
  <si>
    <t>Historical DNFs, center for random sim</t>
  </si>
  <si>
    <t>Dallara IR-18</t>
  </si>
  <si>
    <t>"Risk Tax" paid per km (amount lost)</t>
  </si>
  <si>
    <t>Expected Points per race</t>
  </si>
  <si>
    <t>Expected Points (total)</t>
  </si>
  <si>
    <t>Number of Races</t>
  </si>
  <si>
    <t>points/$1M spent</t>
  </si>
  <si>
    <t>Investment</t>
  </si>
  <si>
    <t>Base + contingency</t>
  </si>
  <si>
    <t>Seasonal budget</t>
  </si>
  <si>
    <t>Avg transport and fuel</t>
  </si>
  <si>
    <t>Expected Points Per Race</t>
  </si>
  <si>
    <t>Savings because of AI</t>
  </si>
  <si>
    <t>Adjusted Logistics Costs</t>
  </si>
  <si>
    <t>AI contribution</t>
  </si>
  <si>
    <t>(Budget * Contingency)</t>
  </si>
  <si>
    <t>Infos</t>
  </si>
  <si>
    <t>Historical Data</t>
  </si>
  <si>
    <t>Internal link</t>
  </si>
  <si>
    <t>External link</t>
  </si>
  <si>
    <t>Investment-to-performance</t>
  </si>
  <si>
    <t>What do colors mean?</t>
  </si>
  <si>
    <t>Total Budget</t>
  </si>
  <si>
    <t>Typical Base Budget</t>
  </si>
  <si>
    <t>Schedule</t>
  </si>
  <si>
    <t>Base Budget</t>
  </si>
  <si>
    <t>Reliability*</t>
  </si>
  <si>
    <t>R&amp;D Scenario</t>
  </si>
  <si>
    <t>Budget \ R&amp;D</t>
  </si>
  <si>
    <t>Championship Probability Heatmap</t>
  </si>
  <si>
    <t>Cost</t>
  </si>
  <si>
    <t>Engine Lease (Season)</t>
  </si>
  <si>
    <t>Updates</t>
  </si>
  <si>
    <t>Autoweek 2012 (+*AS)</t>
  </si>
  <si>
    <t>Firestone</t>
  </si>
  <si>
    <t>Tires Lease (259/280 sets)</t>
  </si>
  <si>
    <t>Emergency Shipping</t>
  </si>
  <si>
    <t>Core Costs</t>
  </si>
  <si>
    <t>Op. Overhead</t>
  </si>
  <si>
    <t>Continous R&amp;D</t>
  </si>
  <si>
    <t>McKinsey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</si>
</sst>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44" formatCode="_(&quot;$&quot;* #,##0.00_);_(&quot;$&quot;* \(#,##0.00\);_(&quot;$&quot;* &quot;-&quot;??_);_(@_)"/>
    <numFmt numFmtId="164" formatCode="&quot;$&quot;#,##0.00"/>
    <numFmt numFmtId="165" formatCode="&quot;$&quot;#,##0.000"/>
    <numFmt numFmtId="166" formatCode="0.000"/>
    <numFmt numFmtId="167" formatCode="&quot;$&quot;0.00,,&quot;M&quot;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3" tint="0.39997558519241921"/>
      <name val="Calibri"/>
      <family val="2"/>
      <scheme val="minor"/>
    </font>
    <font>
      <u/>
      <sz val="11"/>
      <color rgb="FF00B05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thin">
        <color theme="3"/>
      </bottom>
      <diagonal/>
    </border>
    <border>
      <left/>
      <right style="thin">
        <color theme="3"/>
      </right>
      <top/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4" fontId="8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/>
    </xf>
    <xf numFmtId="0" fontId="1" fillId="3" borderId="1" xfId="0" applyFont="1" applyFill="1" applyBorder="1"/>
    <xf numFmtId="0" fontId="1" fillId="0" borderId="0" xfId="0" applyFont="1" applyAlignment="1">
      <alignment horizontal="center"/>
    </xf>
    <xf numFmtId="0" fontId="0" fillId="5" borderId="1" xfId="0" applyFill="1" applyBorder="1"/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center"/>
    </xf>
    <xf numFmtId="165" fontId="0" fillId="0" borderId="0" xfId="0" applyNumberFormat="1"/>
    <xf numFmtId="2" fontId="0" fillId="0" borderId="0" xfId="0" applyNumberFormat="1"/>
    <xf numFmtId="164" fontId="4" fillId="0" borderId="0" xfId="1" applyNumberFormat="1" applyFont="1"/>
    <xf numFmtId="0" fontId="4" fillId="0" borderId="0" xfId="1" applyFont="1"/>
    <xf numFmtId="166" fontId="2" fillId="0" borderId="0" xfId="0" applyNumberFormat="1" applyFont="1"/>
    <xf numFmtId="166" fontId="0" fillId="0" borderId="0" xfId="0" applyNumberFormat="1"/>
    <xf numFmtId="0" fontId="1" fillId="6" borderId="3" xfId="0" applyFont="1" applyFill="1" applyBorder="1"/>
    <xf numFmtId="0" fontId="1" fillId="6" borderId="2" xfId="0" applyFont="1" applyFill="1" applyBorder="1"/>
    <xf numFmtId="164" fontId="1" fillId="6" borderId="3" xfId="0" applyNumberFormat="1" applyFont="1" applyFill="1" applyBorder="1"/>
    <xf numFmtId="0" fontId="5" fillId="0" borderId="0" xfId="1" applyFont="1"/>
    <xf numFmtId="164" fontId="5" fillId="0" borderId="0" xfId="1" applyNumberFormat="1" applyFont="1"/>
    <xf numFmtId="0" fontId="5" fillId="0" borderId="0" xfId="1" applyNumberFormat="1" applyFont="1"/>
    <xf numFmtId="0" fontId="0" fillId="0" borderId="4" xfId="0" applyBorder="1"/>
    <xf numFmtId="0" fontId="1" fillId="0" borderId="5" xfId="0" applyFont="1" applyBorder="1"/>
    <xf numFmtId="0" fontId="5" fillId="0" borderId="6" xfId="1" applyFont="1" applyBorder="1"/>
    <xf numFmtId="0" fontId="1" fillId="0" borderId="7" xfId="0" applyFont="1" applyBorder="1"/>
    <xf numFmtId="167" fontId="0" fillId="0" borderId="0" xfId="0" applyNumberFormat="1"/>
    <xf numFmtId="0" fontId="6" fillId="7" borderId="0" xfId="0" applyFont="1" applyFill="1"/>
    <xf numFmtId="0" fontId="6" fillId="4" borderId="0" xfId="0" applyFont="1" applyFill="1"/>
    <xf numFmtId="0" fontId="6" fillId="2" borderId="0" xfId="0" applyFont="1" applyFill="1"/>
    <xf numFmtId="0" fontId="7" fillId="2" borderId="1" xfId="0" applyFont="1" applyFill="1" applyBorder="1"/>
    <xf numFmtId="0" fontId="7" fillId="4" borderId="1" xfId="0" applyFont="1" applyFill="1" applyBorder="1"/>
    <xf numFmtId="5" fontId="9" fillId="0" borderId="0" xfId="2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5" fontId="13" fillId="0" borderId="0" xfId="0" applyNumberFormat="1" applyFont="1"/>
    <xf numFmtId="0" fontId="4" fillId="0" borderId="8" xfId="1" applyFont="1" applyBorder="1"/>
    <xf numFmtId="0" fontId="14" fillId="0" borderId="0" xfId="0" applyFont="1"/>
    <xf numFmtId="0" fontId="4" fillId="0" borderId="0" xfId="1" applyFont="1" applyAlignment="1">
      <alignment horizontal="center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MONTE_CARLO_SIM!$B$1:$B$51</c:f>
              <c:strCache>
                <c:ptCount val="51"/>
                <c:pt idx="0">
                  <c:v>R&amp;D Scenario</c:v>
                </c:pt>
                <c:pt idx="1">
                  <c:v>$1,142,584.86</c:v>
                </c:pt>
                <c:pt idx="2">
                  <c:v>$1,414,190.65</c:v>
                </c:pt>
                <c:pt idx="3">
                  <c:v>$1,127,073.56</c:v>
                </c:pt>
                <c:pt idx="4">
                  <c:v>$1,597,879.75</c:v>
                </c:pt>
                <c:pt idx="5">
                  <c:v>$1,329,512.85</c:v>
                </c:pt>
                <c:pt idx="6">
                  <c:v>$1,405,172.45</c:v>
                </c:pt>
                <c:pt idx="7">
                  <c:v>$1,591,702.39</c:v>
                </c:pt>
                <c:pt idx="8">
                  <c:v>$1,305,159.57</c:v>
                </c:pt>
                <c:pt idx="9">
                  <c:v>$1,486,725.96</c:v>
                </c:pt>
                <c:pt idx="10">
                  <c:v>$1,409,435.76</c:v>
                </c:pt>
                <c:pt idx="11">
                  <c:v>$1,140,985.94</c:v>
                </c:pt>
                <c:pt idx="12">
                  <c:v>$1,285,086.58</c:v>
                </c:pt>
                <c:pt idx="13">
                  <c:v>$1,355,662.66</c:v>
                </c:pt>
                <c:pt idx="14">
                  <c:v>$1,663,708.97</c:v>
                </c:pt>
                <c:pt idx="15">
                  <c:v>$1,543,916.33</c:v>
                </c:pt>
                <c:pt idx="16">
                  <c:v>$1,281,668.22</c:v>
                </c:pt>
                <c:pt idx="17">
                  <c:v>$1,309,419.81</c:v>
                </c:pt>
                <c:pt idx="18">
                  <c:v>$1,642,958.75</c:v>
                </c:pt>
                <c:pt idx="19">
                  <c:v>$1,353,086.02</c:v>
                </c:pt>
                <c:pt idx="20">
                  <c:v>$1,590,919.47</c:v>
                </c:pt>
                <c:pt idx="21">
                  <c:v>$1,423,350.27</c:v>
                </c:pt>
                <c:pt idx="22">
                  <c:v>$1,237,656.68</c:v>
                </c:pt>
                <c:pt idx="23">
                  <c:v>$1,390,417.13</c:v>
                </c:pt>
                <c:pt idx="24">
                  <c:v>$1,603,931.59</c:v>
                </c:pt>
                <c:pt idx="25">
                  <c:v>$1,484,071.87</c:v>
                </c:pt>
                <c:pt idx="26">
                  <c:v>$1,169,966.20</c:v>
                </c:pt>
                <c:pt idx="27">
                  <c:v>$1,602,417.56</c:v>
                </c:pt>
                <c:pt idx="28">
                  <c:v>$1,131,565.32</c:v>
                </c:pt>
                <c:pt idx="29">
                  <c:v>$1,378,720.05</c:v>
                </c:pt>
                <c:pt idx="30">
                  <c:v>$1,136,086.57</c:v>
                </c:pt>
                <c:pt idx="31">
                  <c:v>$1,218,074.81</c:v>
                </c:pt>
                <c:pt idx="32">
                  <c:v>$1,286,173.80</c:v>
                </c:pt>
                <c:pt idx="33">
                  <c:v>$1,343,217.46</c:v>
                </c:pt>
                <c:pt idx="34">
                  <c:v>$1,328,653.38</c:v>
                </c:pt>
                <c:pt idx="35">
                  <c:v>$1,248,140.19</c:v>
                </c:pt>
                <c:pt idx="36">
                  <c:v>$1,224,421.55</c:v>
                </c:pt>
                <c:pt idx="37">
                  <c:v>$1,141,820.75</c:v>
                </c:pt>
                <c:pt idx="38">
                  <c:v>$1,174,478.23</c:v>
                </c:pt>
                <c:pt idx="39">
                  <c:v>$1,342,632.02</c:v>
                </c:pt>
                <c:pt idx="40">
                  <c:v>$1,394,766.88</c:v>
                </c:pt>
                <c:pt idx="41">
                  <c:v>$1,417,859.66</c:v>
                </c:pt>
                <c:pt idx="42">
                  <c:v>$1,345,735.89</c:v>
                </c:pt>
                <c:pt idx="43">
                  <c:v>$1,598,065.80</c:v>
                </c:pt>
                <c:pt idx="44">
                  <c:v>$1,537,488.16</c:v>
                </c:pt>
                <c:pt idx="45">
                  <c:v>$1,335,947.97</c:v>
                </c:pt>
                <c:pt idx="46">
                  <c:v>$1,525,967.91</c:v>
                </c:pt>
                <c:pt idx="47">
                  <c:v>$1,437,174.26</c:v>
                </c:pt>
                <c:pt idx="48">
                  <c:v>$1,463,804.28</c:v>
                </c:pt>
                <c:pt idx="49">
                  <c:v>$1,628,411.10</c:v>
                </c:pt>
                <c:pt idx="50">
                  <c:v>$1,638,270.57</c:v>
                </c:pt>
              </c:strCache>
            </c:strRef>
          </c:xVal>
          <c:yVal>
            <c:numRef>
              <c:f>MONTE_CARLO_SIM!$R$1:$R$51</c:f>
              <c:numCache>
                <c:formatCode>General</c:formatCode>
                <c:ptCount val="5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17</c:v>
                </c:pt>
                <c:pt idx="8">
                  <c:v>14</c:v>
                </c:pt>
                <c:pt idx="9">
                  <c:v>16</c:v>
                </c:pt>
                <c:pt idx="10">
                  <c:v>#N/A</c:v>
                </c:pt>
                <c:pt idx="11">
                  <c:v>12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14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14</c:v>
                </c:pt>
                <c:pt idx="23">
                  <c:v>#N/A</c:v>
                </c:pt>
                <c:pt idx="24">
                  <c:v>#N/A</c:v>
                </c:pt>
                <c:pt idx="25">
                  <c:v>16</c:v>
                </c:pt>
                <c:pt idx="26">
                  <c:v>#N/A</c:v>
                </c:pt>
                <c:pt idx="27">
                  <c:v>17</c:v>
                </c:pt>
                <c:pt idx="28">
                  <c:v>12</c:v>
                </c:pt>
                <c:pt idx="29">
                  <c:v>15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14</c:v>
                </c:pt>
                <c:pt idx="36">
                  <c:v>13</c:v>
                </c:pt>
                <c:pt idx="37">
                  <c:v>#N/A</c:v>
                </c:pt>
                <c:pt idx="38">
                  <c:v>13</c:v>
                </c:pt>
                <c:pt idx="39">
                  <c:v>15</c:v>
                </c:pt>
                <c:pt idx="40">
                  <c:v>#N/A</c:v>
                </c:pt>
                <c:pt idx="41">
                  <c:v>16</c:v>
                </c:pt>
                <c:pt idx="42">
                  <c:v>14</c:v>
                </c:pt>
                <c:pt idx="43">
                  <c:v>17</c:v>
                </c:pt>
                <c:pt idx="44">
                  <c:v>#N/A</c:v>
                </c:pt>
                <c:pt idx="45">
                  <c:v>#N/A</c:v>
                </c:pt>
                <c:pt idx="46">
                  <c:v>16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DE-A04D-BD91-E8F6FD226F2E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MONTE_CARLO_SIM!$B$1:$B$51</c:f>
              <c:strCache>
                <c:ptCount val="51"/>
                <c:pt idx="0">
                  <c:v>R&amp;D Scenario</c:v>
                </c:pt>
                <c:pt idx="1">
                  <c:v>$1,142,584.86</c:v>
                </c:pt>
                <c:pt idx="2">
                  <c:v>$1,414,190.65</c:v>
                </c:pt>
                <c:pt idx="3">
                  <c:v>$1,127,073.56</c:v>
                </c:pt>
                <c:pt idx="4">
                  <c:v>$1,597,879.75</c:v>
                </c:pt>
                <c:pt idx="5">
                  <c:v>$1,329,512.85</c:v>
                </c:pt>
                <c:pt idx="6">
                  <c:v>$1,405,172.45</c:v>
                </c:pt>
                <c:pt idx="7">
                  <c:v>$1,591,702.39</c:v>
                </c:pt>
                <c:pt idx="8">
                  <c:v>$1,305,159.57</c:v>
                </c:pt>
                <c:pt idx="9">
                  <c:v>$1,486,725.96</c:v>
                </c:pt>
                <c:pt idx="10">
                  <c:v>$1,409,435.76</c:v>
                </c:pt>
                <c:pt idx="11">
                  <c:v>$1,140,985.94</c:v>
                </c:pt>
                <c:pt idx="12">
                  <c:v>$1,285,086.58</c:v>
                </c:pt>
                <c:pt idx="13">
                  <c:v>$1,355,662.66</c:v>
                </c:pt>
                <c:pt idx="14">
                  <c:v>$1,663,708.97</c:v>
                </c:pt>
                <c:pt idx="15">
                  <c:v>$1,543,916.33</c:v>
                </c:pt>
                <c:pt idx="16">
                  <c:v>$1,281,668.22</c:v>
                </c:pt>
                <c:pt idx="17">
                  <c:v>$1,309,419.81</c:v>
                </c:pt>
                <c:pt idx="18">
                  <c:v>$1,642,958.75</c:v>
                </c:pt>
                <c:pt idx="19">
                  <c:v>$1,353,086.02</c:v>
                </c:pt>
                <c:pt idx="20">
                  <c:v>$1,590,919.47</c:v>
                </c:pt>
                <c:pt idx="21">
                  <c:v>$1,423,350.27</c:v>
                </c:pt>
                <c:pt idx="22">
                  <c:v>$1,237,656.68</c:v>
                </c:pt>
                <c:pt idx="23">
                  <c:v>$1,390,417.13</c:v>
                </c:pt>
                <c:pt idx="24">
                  <c:v>$1,603,931.59</c:v>
                </c:pt>
                <c:pt idx="25">
                  <c:v>$1,484,071.87</c:v>
                </c:pt>
                <c:pt idx="26">
                  <c:v>$1,169,966.20</c:v>
                </c:pt>
                <c:pt idx="27">
                  <c:v>$1,602,417.56</c:v>
                </c:pt>
                <c:pt idx="28">
                  <c:v>$1,131,565.32</c:v>
                </c:pt>
                <c:pt idx="29">
                  <c:v>$1,378,720.05</c:v>
                </c:pt>
                <c:pt idx="30">
                  <c:v>$1,136,086.57</c:v>
                </c:pt>
                <c:pt idx="31">
                  <c:v>$1,218,074.81</c:v>
                </c:pt>
                <c:pt idx="32">
                  <c:v>$1,286,173.80</c:v>
                </c:pt>
                <c:pt idx="33">
                  <c:v>$1,343,217.46</c:v>
                </c:pt>
                <c:pt idx="34">
                  <c:v>$1,328,653.38</c:v>
                </c:pt>
                <c:pt idx="35">
                  <c:v>$1,248,140.19</c:v>
                </c:pt>
                <c:pt idx="36">
                  <c:v>$1,224,421.55</c:v>
                </c:pt>
                <c:pt idx="37">
                  <c:v>$1,141,820.75</c:v>
                </c:pt>
                <c:pt idx="38">
                  <c:v>$1,174,478.23</c:v>
                </c:pt>
                <c:pt idx="39">
                  <c:v>$1,342,632.02</c:v>
                </c:pt>
                <c:pt idx="40">
                  <c:v>$1,394,766.88</c:v>
                </c:pt>
                <c:pt idx="41">
                  <c:v>$1,417,859.66</c:v>
                </c:pt>
                <c:pt idx="42">
                  <c:v>$1,345,735.89</c:v>
                </c:pt>
                <c:pt idx="43">
                  <c:v>$1,598,065.80</c:v>
                </c:pt>
                <c:pt idx="44">
                  <c:v>$1,537,488.16</c:v>
                </c:pt>
                <c:pt idx="45">
                  <c:v>$1,335,947.97</c:v>
                </c:pt>
                <c:pt idx="46">
                  <c:v>$1,525,967.91</c:v>
                </c:pt>
                <c:pt idx="47">
                  <c:v>$1,437,174.26</c:v>
                </c:pt>
                <c:pt idx="48">
                  <c:v>$1,463,804.28</c:v>
                </c:pt>
                <c:pt idx="49">
                  <c:v>$1,628,411.10</c:v>
                </c:pt>
                <c:pt idx="50">
                  <c:v>$1,638,270.57</c:v>
                </c:pt>
              </c:strCache>
            </c:strRef>
          </c:xVal>
          <c:yVal>
            <c:numRef>
              <c:f>MONTE_CARLO_SIM!$S$1:$S$51</c:f>
              <c:numCache>
                <c:formatCode>General</c:formatCode>
                <c:ptCount val="51"/>
                <c:pt idx="0">
                  <c:v>0</c:v>
                </c:pt>
                <c:pt idx="1">
                  <c:v>12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14</c:v>
                </c:pt>
                <c:pt idx="11">
                  <c:v>#N/A</c:v>
                </c:pt>
                <c:pt idx="12">
                  <c:v>13</c:v>
                </c:pt>
                <c:pt idx="13">
                  <c:v>#N/A</c:v>
                </c:pt>
                <c:pt idx="14">
                  <c:v>#N/A</c:v>
                </c:pt>
                <c:pt idx="15">
                  <c:v>16</c:v>
                </c:pt>
                <c:pt idx="16">
                  <c:v>13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14</c:v>
                </c:pt>
                <c:pt idx="24">
                  <c:v>16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11</c:v>
                </c:pt>
                <c:pt idx="31">
                  <c:v>12</c:v>
                </c:pt>
                <c:pt idx="32">
                  <c:v>13</c:v>
                </c:pt>
                <c:pt idx="33">
                  <c:v>14</c:v>
                </c:pt>
                <c:pt idx="34">
                  <c:v>13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16</c:v>
                </c:pt>
                <c:pt idx="45">
                  <c:v>14</c:v>
                </c:pt>
                <c:pt idx="46">
                  <c:v>#N/A</c:v>
                </c:pt>
                <c:pt idx="47">
                  <c:v>#N/A</c:v>
                </c:pt>
                <c:pt idx="48">
                  <c:v>15</c:v>
                </c:pt>
                <c:pt idx="49">
                  <c:v>16</c:v>
                </c:pt>
                <c:pt idx="5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DE-A04D-BD91-E8F6FD226F2E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MONTE_CARLO_SIM!$B$1:$B$51</c:f>
              <c:strCache>
                <c:ptCount val="51"/>
                <c:pt idx="0">
                  <c:v>R&amp;D Scenario</c:v>
                </c:pt>
                <c:pt idx="1">
                  <c:v>$1,142,584.86</c:v>
                </c:pt>
                <c:pt idx="2">
                  <c:v>$1,414,190.65</c:v>
                </c:pt>
                <c:pt idx="3">
                  <c:v>$1,127,073.56</c:v>
                </c:pt>
                <c:pt idx="4">
                  <c:v>$1,597,879.75</c:v>
                </c:pt>
                <c:pt idx="5">
                  <c:v>$1,329,512.85</c:v>
                </c:pt>
                <c:pt idx="6">
                  <c:v>$1,405,172.45</c:v>
                </c:pt>
                <c:pt idx="7">
                  <c:v>$1,591,702.39</c:v>
                </c:pt>
                <c:pt idx="8">
                  <c:v>$1,305,159.57</c:v>
                </c:pt>
                <c:pt idx="9">
                  <c:v>$1,486,725.96</c:v>
                </c:pt>
                <c:pt idx="10">
                  <c:v>$1,409,435.76</c:v>
                </c:pt>
                <c:pt idx="11">
                  <c:v>$1,140,985.94</c:v>
                </c:pt>
                <c:pt idx="12">
                  <c:v>$1,285,086.58</c:v>
                </c:pt>
                <c:pt idx="13">
                  <c:v>$1,355,662.66</c:v>
                </c:pt>
                <c:pt idx="14">
                  <c:v>$1,663,708.97</c:v>
                </c:pt>
                <c:pt idx="15">
                  <c:v>$1,543,916.33</c:v>
                </c:pt>
                <c:pt idx="16">
                  <c:v>$1,281,668.22</c:v>
                </c:pt>
                <c:pt idx="17">
                  <c:v>$1,309,419.81</c:v>
                </c:pt>
                <c:pt idx="18">
                  <c:v>$1,642,958.75</c:v>
                </c:pt>
                <c:pt idx="19">
                  <c:v>$1,353,086.02</c:v>
                </c:pt>
                <c:pt idx="20">
                  <c:v>$1,590,919.47</c:v>
                </c:pt>
                <c:pt idx="21">
                  <c:v>$1,423,350.27</c:v>
                </c:pt>
                <c:pt idx="22">
                  <c:v>$1,237,656.68</c:v>
                </c:pt>
                <c:pt idx="23">
                  <c:v>$1,390,417.13</c:v>
                </c:pt>
                <c:pt idx="24">
                  <c:v>$1,603,931.59</c:v>
                </c:pt>
                <c:pt idx="25">
                  <c:v>$1,484,071.87</c:v>
                </c:pt>
                <c:pt idx="26">
                  <c:v>$1,169,966.20</c:v>
                </c:pt>
                <c:pt idx="27">
                  <c:v>$1,602,417.56</c:v>
                </c:pt>
                <c:pt idx="28">
                  <c:v>$1,131,565.32</c:v>
                </c:pt>
                <c:pt idx="29">
                  <c:v>$1,378,720.05</c:v>
                </c:pt>
                <c:pt idx="30">
                  <c:v>$1,136,086.57</c:v>
                </c:pt>
                <c:pt idx="31">
                  <c:v>$1,218,074.81</c:v>
                </c:pt>
                <c:pt idx="32">
                  <c:v>$1,286,173.80</c:v>
                </c:pt>
                <c:pt idx="33">
                  <c:v>$1,343,217.46</c:v>
                </c:pt>
                <c:pt idx="34">
                  <c:v>$1,328,653.38</c:v>
                </c:pt>
                <c:pt idx="35">
                  <c:v>$1,248,140.19</c:v>
                </c:pt>
                <c:pt idx="36">
                  <c:v>$1,224,421.55</c:v>
                </c:pt>
                <c:pt idx="37">
                  <c:v>$1,141,820.75</c:v>
                </c:pt>
                <c:pt idx="38">
                  <c:v>$1,174,478.23</c:v>
                </c:pt>
                <c:pt idx="39">
                  <c:v>$1,342,632.02</c:v>
                </c:pt>
                <c:pt idx="40">
                  <c:v>$1,394,766.88</c:v>
                </c:pt>
                <c:pt idx="41">
                  <c:v>$1,417,859.66</c:v>
                </c:pt>
                <c:pt idx="42">
                  <c:v>$1,345,735.89</c:v>
                </c:pt>
                <c:pt idx="43">
                  <c:v>$1,598,065.80</c:v>
                </c:pt>
                <c:pt idx="44">
                  <c:v>$1,537,488.16</c:v>
                </c:pt>
                <c:pt idx="45">
                  <c:v>$1,335,947.97</c:v>
                </c:pt>
                <c:pt idx="46">
                  <c:v>$1,525,967.91</c:v>
                </c:pt>
                <c:pt idx="47">
                  <c:v>$1,437,174.26</c:v>
                </c:pt>
                <c:pt idx="48">
                  <c:v>$1,463,804.28</c:v>
                </c:pt>
                <c:pt idx="49">
                  <c:v>$1,628,411.10</c:v>
                </c:pt>
                <c:pt idx="50">
                  <c:v>$1,638,270.57</c:v>
                </c:pt>
              </c:strCache>
            </c:strRef>
          </c:xVal>
          <c:yVal>
            <c:numRef>
              <c:f>MONTE_CARLO_SIM!$T$1:$T$51</c:f>
              <c:numCache>
                <c:formatCode>General</c:formatCode>
                <c:ptCount val="51"/>
                <c:pt idx="0">
                  <c:v>0</c:v>
                </c:pt>
                <c:pt idx="1">
                  <c:v>#N/A</c:v>
                </c:pt>
                <c:pt idx="2">
                  <c:v>13</c:v>
                </c:pt>
                <c:pt idx="3">
                  <c:v>10</c:v>
                </c:pt>
                <c:pt idx="4">
                  <c:v>15</c:v>
                </c:pt>
                <c:pt idx="5">
                  <c:v>13</c:v>
                </c:pt>
                <c:pt idx="6">
                  <c:v>13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13</c:v>
                </c:pt>
                <c:pt idx="14">
                  <c:v>16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16</c:v>
                </c:pt>
                <c:pt idx="19">
                  <c:v>13</c:v>
                </c:pt>
                <c:pt idx="20">
                  <c:v>15</c:v>
                </c:pt>
                <c:pt idx="21">
                  <c:v>13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11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11</c:v>
                </c:pt>
                <c:pt idx="38">
                  <c:v>#N/A</c:v>
                </c:pt>
                <c:pt idx="39">
                  <c:v>#N/A</c:v>
                </c:pt>
                <c:pt idx="40">
                  <c:v>13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14</c:v>
                </c:pt>
                <c:pt idx="48">
                  <c:v>#N/A</c:v>
                </c:pt>
                <c:pt idx="49">
                  <c:v>#N/A</c:v>
                </c:pt>
                <c:pt idx="50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DE-A04D-BD91-E8F6FD226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847808"/>
        <c:axId val="2024833472"/>
      </c:scatterChart>
      <c:valAx>
        <c:axId val="2024847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crossAx val="2024833472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2024833472"/>
        <c:scaling>
          <c:orientation val="minMax"/>
          <c:max val="17"/>
          <c:min val="8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847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613834</xdr:colOff>
      <xdr:row>2</xdr:row>
      <xdr:rowOff>182034</xdr:rowOff>
    </xdr:from>
    <xdr:to>
      <xdr:col>13</xdr:col>
      <xdr:colOff>423334</xdr:colOff>
      <xdr:row>23</xdr:row>
      <xdr:rowOff>118534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2E27096-6898-3F2F-0926-C2B5A7DD1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utoweek.com/racing/indycar/a2014111/dallara-named-indycar-chassis-supplier-2012/" TargetMode="External"/><Relationship Id="rId1" Type="http://schemas.openxmlformats.org/officeDocument/2006/relationships/hyperlink" Target="https://racer.com/2025/02/21/indycar-leaders-circle-contracts-increased-by-100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racer.com/2025/02/25/why-do-indycar-team-budgets-keep-climbi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ckinsey.com/industries/industrials/our-insights/distribution-blog/harnessing-the-power-of-ai-in-distribution-operation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dycar.com/Schedu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8"/>
  <sheetViews>
    <sheetView workbookViewId="0">
      <selection activeCell="C27" sqref="C27"/>
    </sheetView>
  </sheetViews>
  <sheetFormatPr baseColWidth="10" defaultColWidth="8.83203125" defaultRowHeight="15" x14ac:dyDescent="0.2"/>
  <cols>
    <col min="1" max="1" width="11.6640625" style="1" bestFit="1" customWidth="1"/>
    <col min="2" max="2" width="20.33203125" bestFit="1" customWidth="1"/>
    <col min="3" max="3" width="13.6640625" style="2" bestFit="1" customWidth="1"/>
    <col min="4" max="4" width="19" customWidth="1"/>
    <col min="5" max="5" width="12" bestFit="1" customWidth="1"/>
    <col min="7" max="7" width="13.33203125" bestFit="1" customWidth="1"/>
  </cols>
  <sheetData>
    <row r="1" spans="1:7" x14ac:dyDescent="0.2">
      <c r="A1" s="7" t="s">
        <v>0</v>
      </c>
      <c r="B1" s="7" t="s">
        <v>1</v>
      </c>
      <c r="C1" s="8" t="s">
        <v>2</v>
      </c>
      <c r="D1" s="7" t="s">
        <v>58</v>
      </c>
      <c r="E1" s="7" t="s">
        <v>72</v>
      </c>
      <c r="G1" s="7"/>
    </row>
    <row r="2" spans="1:7" x14ac:dyDescent="0.2">
      <c r="A2" s="1" t="s">
        <v>3</v>
      </c>
      <c r="B2" t="s">
        <v>43</v>
      </c>
      <c r="C2" s="2">
        <v>450000</v>
      </c>
      <c r="D2" s="13" t="s">
        <v>75</v>
      </c>
      <c r="E2" t="s">
        <v>4</v>
      </c>
      <c r="G2" s="39"/>
    </row>
    <row r="3" spans="1:7" x14ac:dyDescent="0.2">
      <c r="A3" s="1" t="s">
        <v>3</v>
      </c>
      <c r="B3" t="s">
        <v>74</v>
      </c>
      <c r="C3" s="2">
        <v>250000</v>
      </c>
      <c r="D3" t="s">
        <v>81</v>
      </c>
      <c r="E3" t="s">
        <v>5</v>
      </c>
    </row>
    <row r="4" spans="1:7" x14ac:dyDescent="0.2">
      <c r="A4" s="1" t="s">
        <v>6</v>
      </c>
      <c r="B4" t="s">
        <v>73</v>
      </c>
      <c r="C4" s="2">
        <v>1700000</v>
      </c>
      <c r="D4" s="13" t="s">
        <v>7</v>
      </c>
      <c r="E4" t="s">
        <v>4</v>
      </c>
    </row>
    <row r="5" spans="1:7" x14ac:dyDescent="0.2">
      <c r="A5" s="1" t="s">
        <v>8</v>
      </c>
      <c r="B5" t="s">
        <v>77</v>
      </c>
      <c r="C5" s="2">
        <v>1100000</v>
      </c>
      <c r="D5" t="s">
        <v>76</v>
      </c>
      <c r="E5" t="s">
        <v>4</v>
      </c>
    </row>
    <row r="6" spans="1:7" x14ac:dyDescent="0.2">
      <c r="A6" s="1" t="s">
        <v>9</v>
      </c>
      <c r="B6" t="s">
        <v>41</v>
      </c>
      <c r="C6" s="2">
        <v>1800000</v>
      </c>
      <c r="D6" t="s">
        <v>10</v>
      </c>
      <c r="E6" t="s">
        <v>11</v>
      </c>
    </row>
    <row r="7" spans="1:7" x14ac:dyDescent="0.2">
      <c r="A7" s="1" t="s">
        <v>12</v>
      </c>
      <c r="B7" t="s">
        <v>78</v>
      </c>
      <c r="C7" s="2">
        <v>450000</v>
      </c>
      <c r="D7" t="s">
        <v>59</v>
      </c>
      <c r="E7" t="s">
        <v>11</v>
      </c>
    </row>
    <row r="8" spans="1:7" x14ac:dyDescent="0.2">
      <c r="B8" t="s">
        <v>55</v>
      </c>
      <c r="C8" s="2">
        <f>RND_PERFORMANCE_MODEL!B8</f>
        <v>360000</v>
      </c>
      <c r="D8" s="19" t="s">
        <v>56</v>
      </c>
      <c r="E8" t="s">
        <v>11</v>
      </c>
    </row>
    <row r="10" spans="1:7" x14ac:dyDescent="0.2">
      <c r="A10" s="1" t="s">
        <v>67</v>
      </c>
      <c r="C10" s="2">
        <v>8500000</v>
      </c>
    </row>
    <row r="11" spans="1:7" x14ac:dyDescent="0.2">
      <c r="A11" s="1" t="s">
        <v>79</v>
      </c>
      <c r="C11" s="2">
        <f>SUM(C2:C6,C8)</f>
        <v>5660000</v>
      </c>
    </row>
    <row r="12" spans="1:7" x14ac:dyDescent="0.2">
      <c r="A12" s="1" t="s">
        <v>80</v>
      </c>
      <c r="C12" s="2">
        <f>C10-C11</f>
        <v>2840000</v>
      </c>
    </row>
    <row r="13" spans="1:7" x14ac:dyDescent="0.2">
      <c r="B13" s="22"/>
    </row>
    <row r="14" spans="1:7" x14ac:dyDescent="0.2">
      <c r="A14" s="23"/>
      <c r="B14" s="25" t="s">
        <v>63</v>
      </c>
    </row>
    <row r="15" spans="1:7" x14ac:dyDescent="0.2">
      <c r="A15" s="23"/>
      <c r="B15" s="24" t="s">
        <v>60</v>
      </c>
    </row>
    <row r="16" spans="1:7" x14ac:dyDescent="0.2">
      <c r="A16" s="23"/>
      <c r="B16" s="37" t="s">
        <v>61</v>
      </c>
    </row>
    <row r="17" spans="2:2" x14ac:dyDescent="0.2">
      <c r="B17" s="2"/>
    </row>
    <row r="18" spans="2:2" x14ac:dyDescent="0.2">
      <c r="B18" s="2"/>
    </row>
  </sheetData>
  <hyperlinks>
    <hyperlink ref="D4" r:id="rId1" xr:uid="{651DE938-CB40-5F4D-9610-EB947937B2CF}"/>
    <hyperlink ref="D8" location="RND_PERFORMANCE_MODEL!B8" display="AI contribution" xr:uid="{79F83DE5-7CE2-FA4F-8804-F67DEA9F21B9}"/>
    <hyperlink ref="D2" r:id="rId2" display="Autoweek 2012" xr:uid="{5409069C-41F6-934C-8EB9-E905F1428E43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14"/>
  <sheetViews>
    <sheetView tabSelected="1" workbookViewId="0">
      <selection activeCell="C22" sqref="C22"/>
    </sheetView>
  </sheetViews>
  <sheetFormatPr baseColWidth="10" defaultColWidth="8.83203125" defaultRowHeight="15" x14ac:dyDescent="0.2"/>
  <cols>
    <col min="1" max="1" width="21.6640625" style="1" bestFit="1" customWidth="1"/>
    <col min="2" max="2" width="13.1640625" bestFit="1" customWidth="1"/>
    <col min="3" max="3" width="19.6640625" bestFit="1" customWidth="1"/>
  </cols>
  <sheetData>
    <row r="1" spans="1:3" x14ac:dyDescent="0.2">
      <c r="A1" s="7" t="s">
        <v>13</v>
      </c>
      <c r="B1" s="7" t="s">
        <v>14</v>
      </c>
      <c r="C1" s="7" t="s">
        <v>15</v>
      </c>
    </row>
    <row r="2" spans="1:3" x14ac:dyDescent="0.2">
      <c r="A2" s="1" t="s">
        <v>16</v>
      </c>
      <c r="B2">
        <v>6500</v>
      </c>
      <c r="C2" t="s">
        <v>17</v>
      </c>
    </row>
    <row r="3" spans="1:3" x14ac:dyDescent="0.2">
      <c r="A3" s="1" t="s">
        <v>18</v>
      </c>
      <c r="B3" s="2">
        <v>3.2</v>
      </c>
      <c r="C3" t="s">
        <v>52</v>
      </c>
    </row>
    <row r="4" spans="1:3" x14ac:dyDescent="0.2">
      <c r="A4" s="1" t="s">
        <v>19</v>
      </c>
      <c r="B4" s="2">
        <f>B2*B3</f>
        <v>20800</v>
      </c>
      <c r="C4" t="s">
        <v>20</v>
      </c>
    </row>
    <row r="5" spans="1:3" x14ac:dyDescent="0.2">
      <c r="A5" s="1" t="s">
        <v>21</v>
      </c>
      <c r="B5" s="3" t="s">
        <v>38</v>
      </c>
      <c r="C5" t="s">
        <v>22</v>
      </c>
    </row>
    <row r="6" spans="1:3" x14ac:dyDescent="0.2">
      <c r="A6" s="1" t="s">
        <v>39</v>
      </c>
      <c r="B6">
        <f>_xlfn.XLOOKUP(B5, A12:A14, B12:B14)</f>
        <v>0.15</v>
      </c>
      <c r="C6" t="s">
        <v>23</v>
      </c>
    </row>
    <row r="7" spans="1:3" x14ac:dyDescent="0.2">
      <c r="A7" s="1" t="s">
        <v>67</v>
      </c>
      <c r="B7" s="2">
        <v>8500000</v>
      </c>
      <c r="C7" s="12" t="s">
        <v>65</v>
      </c>
    </row>
    <row r="8" spans="1:3" x14ac:dyDescent="0.2">
      <c r="A8" s="1" t="s">
        <v>24</v>
      </c>
      <c r="B8" s="2">
        <f>B6*B7</f>
        <v>1275000</v>
      </c>
      <c r="C8" t="s">
        <v>57</v>
      </c>
    </row>
    <row r="9" spans="1:3" x14ac:dyDescent="0.2">
      <c r="B9" s="2"/>
    </row>
    <row r="11" spans="1:3" x14ac:dyDescent="0.2">
      <c r="A11" s="7" t="s">
        <v>21</v>
      </c>
      <c r="B11" s="7" t="s">
        <v>39</v>
      </c>
    </row>
    <row r="12" spans="1:3" x14ac:dyDescent="0.2">
      <c r="A12" s="30" t="s">
        <v>38</v>
      </c>
      <c r="B12" s="6">
        <v>0.15</v>
      </c>
    </row>
    <row r="13" spans="1:3" x14ac:dyDescent="0.2">
      <c r="A13" s="4" t="s">
        <v>5</v>
      </c>
      <c r="B13" s="6">
        <v>0.22</v>
      </c>
    </row>
    <row r="14" spans="1:3" x14ac:dyDescent="0.2">
      <c r="A14" s="31" t="s">
        <v>4</v>
      </c>
      <c r="B14" s="6">
        <v>0.3</v>
      </c>
    </row>
  </sheetData>
  <dataValidations count="1">
    <dataValidation type="list" sqref="B4" xr:uid="{00000000-0002-0000-0100-000000000000}">
      <formula1>"Low Risk,High Risk"</formula1>
    </dataValidation>
  </dataValidations>
  <hyperlinks>
    <hyperlink ref="C7" r:id="rId1" display="Typical IndyCar season" xr:uid="{6AEA3CC9-3835-8C4B-B45A-6C7DF738BF6E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18"/>
  <sheetViews>
    <sheetView workbookViewId="0">
      <selection activeCell="C14" sqref="C14"/>
    </sheetView>
  </sheetViews>
  <sheetFormatPr baseColWidth="10" defaultColWidth="8.83203125" defaultRowHeight="15" x14ac:dyDescent="0.2"/>
  <cols>
    <col min="1" max="1" width="20.6640625" style="1" bestFit="1" customWidth="1"/>
    <col min="2" max="2" width="12.6640625" bestFit="1" customWidth="1"/>
    <col min="3" max="3" width="29.83203125" customWidth="1"/>
    <col min="5" max="5" width="11.6640625" bestFit="1" customWidth="1"/>
    <col min="6" max="6" width="9.1640625" bestFit="1" customWidth="1"/>
    <col min="7" max="10" width="10.6640625" bestFit="1" customWidth="1"/>
  </cols>
  <sheetData>
    <row r="1" spans="1:10" x14ac:dyDescent="0.2">
      <c r="A1" s="7" t="s">
        <v>13</v>
      </c>
      <c r="B1" s="7" t="s">
        <v>25</v>
      </c>
      <c r="C1" s="7" t="s">
        <v>26</v>
      </c>
    </row>
    <row r="2" spans="1:10" x14ac:dyDescent="0.2">
      <c r="A2" s="1" t="s">
        <v>27</v>
      </c>
      <c r="B2" s="2">
        <v>1400000</v>
      </c>
      <c r="C2" t="s">
        <v>28</v>
      </c>
    </row>
    <row r="3" spans="1:10" x14ac:dyDescent="0.2">
      <c r="A3" s="1" t="s">
        <v>29</v>
      </c>
      <c r="B3">
        <v>0.92</v>
      </c>
      <c r="C3" t="s">
        <v>42</v>
      </c>
    </row>
    <row r="4" spans="1:10" x14ac:dyDescent="0.2">
      <c r="A4" s="1" t="s">
        <v>40</v>
      </c>
      <c r="B4" s="13">
        <v>0.2</v>
      </c>
      <c r="C4" t="s">
        <v>82</v>
      </c>
    </row>
    <row r="5" spans="1:10" x14ac:dyDescent="0.2">
      <c r="A5" s="1" t="s">
        <v>30</v>
      </c>
      <c r="B5" s="10">
        <f>OPERATIONAL_SIMULATOR!B3*(1-B3)</f>
        <v>0.25599999999999989</v>
      </c>
      <c r="C5" t="s">
        <v>44</v>
      </c>
    </row>
    <row r="6" spans="1:10" x14ac:dyDescent="0.2">
      <c r="A6" s="1" t="s">
        <v>53</v>
      </c>
      <c r="B6">
        <f>ROUND((B2/100000)*(B3*1.1),0)</f>
        <v>14</v>
      </c>
      <c r="C6" t="s">
        <v>62</v>
      </c>
    </row>
    <row r="8" spans="1:10" x14ac:dyDescent="0.2">
      <c r="A8" s="17" t="s">
        <v>55</v>
      </c>
      <c r="B8" s="18">
        <f>MARKET_BENCHMARK!C7 * (1 - B4)</f>
        <v>360000</v>
      </c>
    </row>
    <row r="9" spans="1:10" x14ac:dyDescent="0.2">
      <c r="A9" s="16" t="s">
        <v>54</v>
      </c>
      <c r="B9" s="18">
        <f>MARKET_BENCHMARK!C7 - B8</f>
        <v>90000</v>
      </c>
    </row>
    <row r="11" spans="1:10" x14ac:dyDescent="0.2">
      <c r="E11" s="1"/>
      <c r="F11" s="1"/>
      <c r="G11" s="1"/>
    </row>
    <row r="13" spans="1:10" x14ac:dyDescent="0.2">
      <c r="E13" s="33"/>
      <c r="F13" s="32"/>
      <c r="G13" s="32"/>
      <c r="H13" s="32"/>
      <c r="I13" s="32"/>
      <c r="J13" s="32"/>
    </row>
    <row r="14" spans="1:10" x14ac:dyDescent="0.2">
      <c r="E14" s="32"/>
    </row>
    <row r="15" spans="1:10" x14ac:dyDescent="0.2">
      <c r="E15" s="32"/>
    </row>
    <row r="16" spans="1:10" x14ac:dyDescent="0.2">
      <c r="E16" s="32"/>
    </row>
    <row r="17" spans="5:5" x14ac:dyDescent="0.2">
      <c r="E17" s="32"/>
    </row>
    <row r="18" spans="5:5" x14ac:dyDescent="0.2">
      <c r="E18" s="32"/>
    </row>
  </sheetData>
  <conditionalFormatting sqref="F14:J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B4" r:id="rId1" display="https://www.mckinsey.com/industries/industrials/our-insights/distribution-blog/harnessing-the-power-of-ai-in-distribution-operations" xr:uid="{F08E0415-0A49-084B-91DB-0DB1B86DA12E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168CA-FC01-A142-AF3E-D53BF58B9817}">
  <dimension ref="A1:F8"/>
  <sheetViews>
    <sheetView workbookViewId="0">
      <selection activeCell="E13" sqref="E13"/>
    </sheetView>
  </sheetViews>
  <sheetFormatPr baseColWidth="10" defaultRowHeight="15" x14ac:dyDescent="0.2"/>
  <cols>
    <col min="1" max="1" width="11.33203125" customWidth="1"/>
    <col min="2" max="2" width="9.1640625" bestFit="1" customWidth="1"/>
    <col min="3" max="5" width="10.6640625" bestFit="1" customWidth="1"/>
  </cols>
  <sheetData>
    <row r="1" spans="1:6" x14ac:dyDescent="0.2">
      <c r="A1" s="34" t="s">
        <v>71</v>
      </c>
      <c r="B1" s="34"/>
      <c r="C1" s="34"/>
      <c r="D1" s="35"/>
      <c r="E1" s="35"/>
      <c r="F1" s="35"/>
    </row>
    <row r="2" spans="1:6" x14ac:dyDescent="0.2">
      <c r="A2" s="35"/>
      <c r="B2" s="35"/>
      <c r="C2" s="35"/>
      <c r="D2" s="35"/>
      <c r="E2" s="35"/>
      <c r="F2" s="35"/>
    </row>
    <row r="3" spans="1:6" x14ac:dyDescent="0.2">
      <c r="A3" s="34" t="s">
        <v>70</v>
      </c>
      <c r="B3" s="36">
        <v>800000</v>
      </c>
      <c r="C3" s="36">
        <v>1000000</v>
      </c>
      <c r="D3" s="36">
        <v>1200000</v>
      </c>
      <c r="E3" s="36">
        <v>1400000</v>
      </c>
      <c r="F3" s="36">
        <v>1600000</v>
      </c>
    </row>
    <row r="4" spans="1:6" x14ac:dyDescent="0.2">
      <c r="A4" s="36">
        <v>6500000</v>
      </c>
      <c r="B4" s="38">
        <f>MIN(0.9, (LN($A4/1000000)*0.12 + LN(B$3/100000)*0.08))</f>
        <v>0.3909715845625778</v>
      </c>
      <c r="C4" s="38">
        <f t="shared" ref="C4:F4" si="0">MIN(0.9, (LN($A4/1000000)*0.12 + LN(C$3/100000)*0.08))</f>
        <v>0.40882306866771462</v>
      </c>
      <c r="D4" s="38">
        <f t="shared" si="0"/>
        <v>0.42340879321123098</v>
      </c>
      <c r="E4" s="38">
        <f t="shared" si="0"/>
        <v>0.43574084759741161</v>
      </c>
      <c r="F4" s="38">
        <f t="shared" si="0"/>
        <v>0.44642335900737345</v>
      </c>
    </row>
    <row r="5" spans="1:6" x14ac:dyDescent="0.2">
      <c r="A5" s="36">
        <v>7500000</v>
      </c>
      <c r="B5" s="38">
        <f t="shared" ref="B5:F8" si="1">MIN(0.9, (LN($A5/1000000)*0.12 + LN(B$3/100000)*0.08))</f>
        <v>0.40814368579945859</v>
      </c>
      <c r="C5" s="38">
        <f t="shared" si="1"/>
        <v>0.42599516990459541</v>
      </c>
      <c r="D5" s="38">
        <f t="shared" si="1"/>
        <v>0.44058089444811177</v>
      </c>
      <c r="E5" s="38">
        <f t="shared" si="1"/>
        <v>0.45291294883429245</v>
      </c>
      <c r="F5" s="38">
        <f t="shared" si="1"/>
        <v>0.46359546024425424</v>
      </c>
    </row>
    <row r="6" spans="1:6" x14ac:dyDescent="0.2">
      <c r="A6" s="36">
        <v>8500000</v>
      </c>
      <c r="B6" s="38">
        <f t="shared" si="1"/>
        <v>0.42316326295393936</v>
      </c>
      <c r="C6" s="38">
        <f t="shared" si="1"/>
        <v>0.44101474705907617</v>
      </c>
      <c r="D6" s="38">
        <f t="shared" si="1"/>
        <v>0.45560047160259254</v>
      </c>
      <c r="E6" s="38">
        <f t="shared" si="1"/>
        <v>0.46793252598877322</v>
      </c>
      <c r="F6" s="38">
        <f t="shared" si="1"/>
        <v>0.47861503739873501</v>
      </c>
    </row>
    <row r="7" spans="1:6" x14ac:dyDescent="0.2">
      <c r="A7" s="36">
        <v>9500000</v>
      </c>
      <c r="B7" s="38">
        <f t="shared" si="1"/>
        <v>0.43651033916716625</v>
      </c>
      <c r="C7" s="38">
        <f t="shared" si="1"/>
        <v>0.45436182327230307</v>
      </c>
      <c r="D7" s="38">
        <f t="shared" si="1"/>
        <v>0.46894754781581943</v>
      </c>
      <c r="E7" s="38">
        <f t="shared" si="1"/>
        <v>0.48127960220200006</v>
      </c>
      <c r="F7" s="38">
        <f t="shared" si="1"/>
        <v>0.4919621136119619</v>
      </c>
    </row>
    <row r="8" spans="1:6" x14ac:dyDescent="0.2">
      <c r="A8" s="36">
        <v>10500000</v>
      </c>
      <c r="B8" s="38">
        <f t="shared" si="1"/>
        <v>0.44852035419400416</v>
      </c>
      <c r="C8" s="38">
        <f t="shared" si="1"/>
        <v>0.46637183829914097</v>
      </c>
      <c r="D8" s="38">
        <f t="shared" si="1"/>
        <v>0.48095756284265734</v>
      </c>
      <c r="E8" s="38">
        <f t="shared" si="1"/>
        <v>0.49328961722883802</v>
      </c>
      <c r="F8" s="38">
        <f t="shared" si="1"/>
        <v>0.50397212863879981</v>
      </c>
    </row>
  </sheetData>
  <conditionalFormatting sqref="B4:F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T51"/>
  <sheetViews>
    <sheetView zoomScale="75" zoomScaleNormal="125" workbookViewId="0">
      <selection activeCell="B4" sqref="B4"/>
    </sheetView>
  </sheetViews>
  <sheetFormatPr baseColWidth="10" defaultColWidth="8.83203125" defaultRowHeight="15" x14ac:dyDescent="0.2"/>
  <cols>
    <col min="1" max="1" width="7.83203125" style="5" customWidth="1"/>
    <col min="2" max="2" width="14" style="2" bestFit="1" customWidth="1"/>
    <col min="3" max="3" width="9.83203125" style="15" bestFit="1" customWidth="1"/>
    <col min="4" max="4" width="13.5" bestFit="1" customWidth="1"/>
  </cols>
  <sheetData>
    <row r="1" spans="1:20" x14ac:dyDescent="0.2">
      <c r="A1" s="9"/>
      <c r="B1" s="8" t="s">
        <v>69</v>
      </c>
      <c r="C1" s="14" t="s">
        <v>68</v>
      </c>
      <c r="D1" s="7" t="s">
        <v>32</v>
      </c>
      <c r="R1" s="27" t="s">
        <v>4</v>
      </c>
      <c r="S1" s="28" t="s">
        <v>5</v>
      </c>
      <c r="T1" s="29" t="s">
        <v>38</v>
      </c>
    </row>
    <row r="2" spans="1:20" x14ac:dyDescent="0.2">
      <c r="B2" s="2">
        <f ca="1">RND_PERFORMANCE_MODEL!B2*(0.8+RAND()*0.4)</f>
        <v>1142584.861230053</v>
      </c>
      <c r="C2" s="15">
        <f ca="1">RND_PERFORMANCE_MODEL!B3*(0.9+RAND()*0.2)</f>
        <v>0.93653793063554569</v>
      </c>
      <c r="D2">
        <f t="shared" ref="D2:D33" ca="1" si="0">ROUND((B2 /100000)*(C2*1.1),0)</f>
        <v>12</v>
      </c>
      <c r="R2" t="e">
        <f t="shared" ref="R2:R33" ca="1" si="1">IF(C2&gt;=0.95, D2, NA())</f>
        <v>#N/A</v>
      </c>
      <c r="S2">
        <f t="shared" ref="S2:S33" ca="1" si="2">IF(AND(C2&lt;0.95, C2&gt;=0.9), D2, NA())</f>
        <v>12</v>
      </c>
      <c r="T2" t="e">
        <f t="shared" ref="T2:T33" ca="1" si="3">IF(C2&lt;0.9, D2, NA())</f>
        <v>#N/A</v>
      </c>
    </row>
    <row r="3" spans="1:20" x14ac:dyDescent="0.2">
      <c r="B3" s="2">
        <f ca="1">RND_PERFORMANCE_MODEL!B2*(0.8+RAND()*0.4)</f>
        <v>1414190.6456481428</v>
      </c>
      <c r="C3" s="15">
        <f ca="1">RND_PERFORMANCE_MODEL!B3*(0.9+RAND()*0.2)</f>
        <v>0.8312404676360573</v>
      </c>
      <c r="D3">
        <f t="shared" ca="1" si="0"/>
        <v>13</v>
      </c>
      <c r="R3" t="e">
        <f t="shared" ca="1" si="1"/>
        <v>#N/A</v>
      </c>
      <c r="S3" t="e">
        <f t="shared" ca="1" si="2"/>
        <v>#N/A</v>
      </c>
      <c r="T3">
        <f t="shared" ca="1" si="3"/>
        <v>13</v>
      </c>
    </row>
    <row r="4" spans="1:20" x14ac:dyDescent="0.2">
      <c r="B4" s="2">
        <f ca="1">RND_PERFORMANCE_MODEL!B2*(0.8+RAND()*0.4)</f>
        <v>1127073.5580842556</v>
      </c>
      <c r="C4" s="15">
        <f ca="1">RND_PERFORMANCE_MODEL!B3*(0.9+RAND()*0.2)</f>
        <v>0.83280556654032589</v>
      </c>
      <c r="D4">
        <f t="shared" ca="1" si="0"/>
        <v>10</v>
      </c>
      <c r="R4" t="e">
        <f t="shared" ca="1" si="1"/>
        <v>#N/A</v>
      </c>
      <c r="S4" t="e">
        <f t="shared" ca="1" si="2"/>
        <v>#N/A</v>
      </c>
      <c r="T4">
        <f t="shared" ca="1" si="3"/>
        <v>10</v>
      </c>
    </row>
    <row r="5" spans="1:20" x14ac:dyDescent="0.2">
      <c r="B5" s="2">
        <f ca="1">RND_PERFORMANCE_MODEL!B2*(0.8+RAND()*0.4)</f>
        <v>1597879.7544105349</v>
      </c>
      <c r="C5" s="15">
        <f ca="1">RND_PERFORMANCE_MODEL!B3*(0.9+RAND()*0.2)</f>
        <v>0.86321345267696525</v>
      </c>
      <c r="D5">
        <f t="shared" ca="1" si="0"/>
        <v>15</v>
      </c>
      <c r="R5" t="e">
        <f t="shared" ca="1" si="1"/>
        <v>#N/A</v>
      </c>
      <c r="S5" t="e">
        <f t="shared" ca="1" si="2"/>
        <v>#N/A</v>
      </c>
      <c r="T5">
        <f t="shared" ca="1" si="3"/>
        <v>15</v>
      </c>
    </row>
    <row r="6" spans="1:20" x14ac:dyDescent="0.2">
      <c r="B6" s="2">
        <f ca="1">RND_PERFORMANCE_MODEL!B2*(0.8+RAND()*0.4)</f>
        <v>1329512.8503264906</v>
      </c>
      <c r="C6" s="15">
        <f ca="1">RND_PERFORMANCE_MODEL!B3*(0.9+RAND()*0.2)</f>
        <v>0.88383742076540195</v>
      </c>
      <c r="D6">
        <f t="shared" ca="1" si="0"/>
        <v>13</v>
      </c>
      <c r="R6" t="e">
        <f t="shared" ca="1" si="1"/>
        <v>#N/A</v>
      </c>
      <c r="S6" t="e">
        <f t="shared" ca="1" si="2"/>
        <v>#N/A</v>
      </c>
      <c r="T6">
        <f t="shared" ca="1" si="3"/>
        <v>13</v>
      </c>
    </row>
    <row r="7" spans="1:20" x14ac:dyDescent="0.2">
      <c r="B7" s="2">
        <f ca="1">RND_PERFORMANCE_MODEL!B2*(0.8+RAND()*0.4)</f>
        <v>1405172.4504054703</v>
      </c>
      <c r="C7" s="15">
        <f ca="1">RND_PERFORMANCE_MODEL!B3*(0.9+RAND()*0.2)</f>
        <v>0.872678051710574</v>
      </c>
      <c r="D7">
        <f t="shared" ca="1" si="0"/>
        <v>13</v>
      </c>
      <c r="R7" t="e">
        <f t="shared" ca="1" si="1"/>
        <v>#N/A</v>
      </c>
      <c r="S7" t="e">
        <f t="shared" ca="1" si="2"/>
        <v>#N/A</v>
      </c>
      <c r="T7">
        <f t="shared" ca="1" si="3"/>
        <v>13</v>
      </c>
    </row>
    <row r="8" spans="1:20" x14ac:dyDescent="0.2">
      <c r="B8" s="2">
        <f ca="1">RND_PERFORMANCE_MODEL!B2*(0.8+RAND()*0.4)</f>
        <v>1591702.3899039268</v>
      </c>
      <c r="C8" s="15">
        <f ca="1">RND_PERFORMANCE_MODEL!B3*(0.9+RAND()*0.2)</f>
        <v>0.95059245654761326</v>
      </c>
      <c r="D8">
        <f t="shared" ca="1" si="0"/>
        <v>17</v>
      </c>
      <c r="R8">
        <f t="shared" ca="1" si="1"/>
        <v>17</v>
      </c>
      <c r="S8" t="e">
        <f t="shared" ca="1" si="2"/>
        <v>#N/A</v>
      </c>
      <c r="T8" t="e">
        <f t="shared" ca="1" si="3"/>
        <v>#N/A</v>
      </c>
    </row>
    <row r="9" spans="1:20" x14ac:dyDescent="0.2">
      <c r="B9" s="2">
        <f ca="1">RND_PERFORMANCE_MODEL!B2*(0.8+RAND()*0.4)</f>
        <v>1305159.5742549761</v>
      </c>
      <c r="C9" s="15">
        <f ca="1">RND_PERFORMANCE_MODEL!B3*(0.9+RAND()*0.2)</f>
        <v>0.96464835323313847</v>
      </c>
      <c r="D9">
        <f t="shared" ca="1" si="0"/>
        <v>14</v>
      </c>
      <c r="R9">
        <f t="shared" ca="1" si="1"/>
        <v>14</v>
      </c>
      <c r="S9" t="e">
        <f t="shared" ca="1" si="2"/>
        <v>#N/A</v>
      </c>
      <c r="T9" t="e">
        <f t="shared" ca="1" si="3"/>
        <v>#N/A</v>
      </c>
    </row>
    <row r="10" spans="1:20" x14ac:dyDescent="0.2">
      <c r="B10" s="2">
        <f ca="1">RND_PERFORMANCE_MODEL!B2*(0.8+RAND()*0.4)</f>
        <v>1486725.9590835029</v>
      </c>
      <c r="C10" s="15">
        <f ca="1">RND_PERFORMANCE_MODEL!B3*(0.9+RAND()*0.2)</f>
        <v>0.98611412491393835</v>
      </c>
      <c r="D10">
        <f t="shared" ca="1" si="0"/>
        <v>16</v>
      </c>
      <c r="R10">
        <f t="shared" ca="1" si="1"/>
        <v>16</v>
      </c>
      <c r="S10" t="e">
        <f t="shared" ca="1" si="2"/>
        <v>#N/A</v>
      </c>
      <c r="T10" t="e">
        <f t="shared" ca="1" si="3"/>
        <v>#N/A</v>
      </c>
    </row>
    <row r="11" spans="1:20" x14ac:dyDescent="0.2">
      <c r="B11" s="2">
        <f ca="1">RND_PERFORMANCE_MODEL!B2*(0.8+RAND()*0.4)</f>
        <v>1409435.760142236</v>
      </c>
      <c r="C11" s="15">
        <f ca="1">RND_PERFORMANCE_MODEL!B3*(0.9+RAND()*0.2)</f>
        <v>0.93304225452193323</v>
      </c>
      <c r="D11">
        <f t="shared" ca="1" si="0"/>
        <v>14</v>
      </c>
      <c r="R11" t="e">
        <f t="shared" ca="1" si="1"/>
        <v>#N/A</v>
      </c>
      <c r="S11">
        <f t="shared" ca="1" si="2"/>
        <v>14</v>
      </c>
      <c r="T11" t="e">
        <f t="shared" ca="1" si="3"/>
        <v>#N/A</v>
      </c>
    </row>
    <row r="12" spans="1:20" x14ac:dyDescent="0.2">
      <c r="B12" s="2">
        <f ca="1">RND_PERFORMANCE_MODEL!B2*(0.8+RAND()*0.4)</f>
        <v>1140985.9434478309</v>
      </c>
      <c r="C12" s="15">
        <f ca="1">RND_PERFORMANCE_MODEL!B3*(0.9+RAND()*0.2)</f>
        <v>0.9783862549739496</v>
      </c>
      <c r="D12">
        <f t="shared" ca="1" si="0"/>
        <v>12</v>
      </c>
      <c r="R12">
        <f t="shared" ca="1" si="1"/>
        <v>12</v>
      </c>
      <c r="S12" t="e">
        <f t="shared" ca="1" si="2"/>
        <v>#N/A</v>
      </c>
      <c r="T12" t="e">
        <f t="shared" ca="1" si="3"/>
        <v>#N/A</v>
      </c>
    </row>
    <row r="13" spans="1:20" x14ac:dyDescent="0.2">
      <c r="B13" s="2">
        <f ca="1">RND_PERFORMANCE_MODEL!B2*(0.8+RAND()*0.4)</f>
        <v>1285086.5849383702</v>
      </c>
      <c r="C13" s="15">
        <f ca="1">RND_PERFORMANCE_MODEL!B3*(0.9+RAND()*0.2)</f>
        <v>0.91645825562447514</v>
      </c>
      <c r="D13">
        <f t="shared" ca="1" si="0"/>
        <v>13</v>
      </c>
      <c r="R13" t="e">
        <f t="shared" ca="1" si="1"/>
        <v>#N/A</v>
      </c>
      <c r="S13">
        <f t="shared" ca="1" si="2"/>
        <v>13</v>
      </c>
      <c r="T13" t="e">
        <f t="shared" ca="1" si="3"/>
        <v>#N/A</v>
      </c>
    </row>
    <row r="14" spans="1:20" x14ac:dyDescent="0.2">
      <c r="B14" s="2">
        <f ca="1">RND_PERFORMANCE_MODEL!B2*(0.8+RAND()*0.4)</f>
        <v>1355662.6642816712</v>
      </c>
      <c r="C14" s="15">
        <f ca="1">RND_PERFORMANCE_MODEL!B3*(0.9+RAND()*0.2)</f>
        <v>0.85693771995280787</v>
      </c>
      <c r="D14">
        <f t="shared" ca="1" si="0"/>
        <v>13</v>
      </c>
      <c r="R14" t="e">
        <f t="shared" ca="1" si="1"/>
        <v>#N/A</v>
      </c>
      <c r="S14" t="e">
        <f t="shared" ca="1" si="2"/>
        <v>#N/A</v>
      </c>
      <c r="T14">
        <f t="shared" ca="1" si="3"/>
        <v>13</v>
      </c>
    </row>
    <row r="15" spans="1:20" x14ac:dyDescent="0.2">
      <c r="B15" s="2">
        <f ca="1">RND_PERFORMANCE_MODEL!B2*(0.8+RAND()*0.4)</f>
        <v>1663708.9676280718</v>
      </c>
      <c r="C15" s="15">
        <f ca="1">RND_PERFORMANCE_MODEL!B3*(0.9+RAND()*0.2)</f>
        <v>0.86430433656015559</v>
      </c>
      <c r="D15">
        <f t="shared" ca="1" si="0"/>
        <v>16</v>
      </c>
      <c r="R15" t="e">
        <f t="shared" ca="1" si="1"/>
        <v>#N/A</v>
      </c>
      <c r="S15" t="e">
        <f t="shared" ca="1" si="2"/>
        <v>#N/A</v>
      </c>
      <c r="T15">
        <f t="shared" ca="1" si="3"/>
        <v>16</v>
      </c>
    </row>
    <row r="16" spans="1:20" x14ac:dyDescent="0.2">
      <c r="B16" s="2">
        <f ca="1">RND_PERFORMANCE_MODEL!B2*(0.8+RAND()*0.4)</f>
        <v>1543916.3292581053</v>
      </c>
      <c r="C16" s="15">
        <f ca="1">RND_PERFORMANCE_MODEL!B3*(0.9+RAND()*0.2)</f>
        <v>0.93941455393099305</v>
      </c>
      <c r="D16">
        <f t="shared" ca="1" si="0"/>
        <v>16</v>
      </c>
      <c r="R16" t="e">
        <f t="shared" ca="1" si="1"/>
        <v>#N/A</v>
      </c>
      <c r="S16">
        <f t="shared" ca="1" si="2"/>
        <v>16</v>
      </c>
      <c r="T16" t="e">
        <f t="shared" ca="1" si="3"/>
        <v>#N/A</v>
      </c>
    </row>
    <row r="17" spans="2:20" x14ac:dyDescent="0.2">
      <c r="B17" s="2">
        <f ca="1">RND_PERFORMANCE_MODEL!B2*(0.8+RAND()*0.4)</f>
        <v>1281668.2218771579</v>
      </c>
      <c r="C17" s="15">
        <f ca="1">RND_PERFORMANCE_MODEL!B3*(0.9+RAND()*0.2)</f>
        <v>0.94303886824368488</v>
      </c>
      <c r="D17">
        <f t="shared" ca="1" si="0"/>
        <v>13</v>
      </c>
      <c r="R17" t="e">
        <f t="shared" ca="1" si="1"/>
        <v>#N/A</v>
      </c>
      <c r="S17">
        <f t="shared" ca="1" si="2"/>
        <v>13</v>
      </c>
      <c r="T17" t="e">
        <f t="shared" ca="1" si="3"/>
        <v>#N/A</v>
      </c>
    </row>
    <row r="18" spans="2:20" x14ac:dyDescent="0.2">
      <c r="B18" s="2">
        <f ca="1">RND_PERFORMANCE_MODEL!B2*(0.8+RAND()*0.4)</f>
        <v>1309419.8091230756</v>
      </c>
      <c r="C18" s="15">
        <f ca="1">RND_PERFORMANCE_MODEL!B3*(0.9+RAND()*0.2)</f>
        <v>0.97908770357762054</v>
      </c>
      <c r="D18">
        <f t="shared" ca="1" si="0"/>
        <v>14</v>
      </c>
      <c r="R18">
        <f t="shared" ca="1" si="1"/>
        <v>14</v>
      </c>
      <c r="S18" t="e">
        <f t="shared" ca="1" si="2"/>
        <v>#N/A</v>
      </c>
      <c r="T18" t="e">
        <f t="shared" ca="1" si="3"/>
        <v>#N/A</v>
      </c>
    </row>
    <row r="19" spans="2:20" x14ac:dyDescent="0.2">
      <c r="B19" s="2">
        <f ca="1">RND_PERFORMANCE_MODEL!B2*(0.8+RAND()*0.4)</f>
        <v>1642958.7518821419</v>
      </c>
      <c r="C19" s="15">
        <f ca="1">RND_PERFORMANCE_MODEL!B3*(0.9+RAND()*0.2)</f>
        <v>0.86084448217747622</v>
      </c>
      <c r="D19">
        <f t="shared" ca="1" si="0"/>
        <v>16</v>
      </c>
      <c r="R19" t="e">
        <f t="shared" ca="1" si="1"/>
        <v>#N/A</v>
      </c>
      <c r="S19" t="e">
        <f t="shared" ca="1" si="2"/>
        <v>#N/A</v>
      </c>
      <c r="T19">
        <f t="shared" ca="1" si="3"/>
        <v>16</v>
      </c>
    </row>
    <row r="20" spans="2:20" x14ac:dyDescent="0.2">
      <c r="B20" s="2">
        <f ca="1">RND_PERFORMANCE_MODEL!B2*(0.8+RAND()*0.4)</f>
        <v>1353086.0153390642</v>
      </c>
      <c r="C20" s="15">
        <f ca="1">RND_PERFORMANCE_MODEL!B3*(0.9+RAND()*0.2)</f>
        <v>0.89946769974259433</v>
      </c>
      <c r="D20">
        <f t="shared" ca="1" si="0"/>
        <v>13</v>
      </c>
      <c r="R20" t="e">
        <f t="shared" ca="1" si="1"/>
        <v>#N/A</v>
      </c>
      <c r="S20" t="e">
        <f t="shared" ca="1" si="2"/>
        <v>#N/A</v>
      </c>
      <c r="T20">
        <f t="shared" ca="1" si="3"/>
        <v>13</v>
      </c>
    </row>
    <row r="21" spans="2:20" x14ac:dyDescent="0.2">
      <c r="B21" s="2">
        <f ca="1">RND_PERFORMANCE_MODEL!B2*(0.8+RAND()*0.4)</f>
        <v>1590919.474543907</v>
      </c>
      <c r="C21" s="15">
        <f ca="1">RND_PERFORMANCE_MODEL!B3*(0.9+RAND()*0.2)</f>
        <v>0.86702073842638128</v>
      </c>
      <c r="D21">
        <f t="shared" ca="1" si="0"/>
        <v>15</v>
      </c>
      <c r="R21" t="e">
        <f t="shared" ca="1" si="1"/>
        <v>#N/A</v>
      </c>
      <c r="S21" t="e">
        <f t="shared" ca="1" si="2"/>
        <v>#N/A</v>
      </c>
      <c r="T21">
        <f t="shared" ca="1" si="3"/>
        <v>15</v>
      </c>
    </row>
    <row r="22" spans="2:20" x14ac:dyDescent="0.2">
      <c r="B22" s="2">
        <f ca="1">RND_PERFORMANCE_MODEL!B2*(0.8+RAND()*0.4)</f>
        <v>1423350.2702797588</v>
      </c>
      <c r="C22" s="15">
        <f ca="1">RND_PERFORMANCE_MODEL!B3*(0.9+RAND()*0.2)</f>
        <v>0.84341784252974561</v>
      </c>
      <c r="D22">
        <f t="shared" ca="1" si="0"/>
        <v>13</v>
      </c>
      <c r="R22" t="e">
        <f t="shared" ca="1" si="1"/>
        <v>#N/A</v>
      </c>
      <c r="S22" t="e">
        <f t="shared" ca="1" si="2"/>
        <v>#N/A</v>
      </c>
      <c r="T22">
        <f t="shared" ca="1" si="3"/>
        <v>13</v>
      </c>
    </row>
    <row r="23" spans="2:20" x14ac:dyDescent="0.2">
      <c r="B23" s="2">
        <f ca="1">RND_PERFORMANCE_MODEL!B2*(0.8+RAND()*0.4)</f>
        <v>1237656.6799071983</v>
      </c>
      <c r="C23" s="15">
        <f ca="1">RND_PERFORMANCE_MODEL!B3*(0.9+RAND()*0.2)</f>
        <v>1.0066036588800691</v>
      </c>
      <c r="D23">
        <f t="shared" ca="1" si="0"/>
        <v>14</v>
      </c>
      <c r="R23">
        <f t="shared" ca="1" si="1"/>
        <v>14</v>
      </c>
      <c r="S23" t="e">
        <f t="shared" ca="1" si="2"/>
        <v>#N/A</v>
      </c>
      <c r="T23" t="e">
        <f t="shared" ca="1" si="3"/>
        <v>#N/A</v>
      </c>
    </row>
    <row r="24" spans="2:20" x14ac:dyDescent="0.2">
      <c r="B24" s="2">
        <f ca="1">RND_PERFORMANCE_MODEL!B2*(0.8+RAND()*0.4)</f>
        <v>1390417.1292604692</v>
      </c>
      <c r="C24" s="15">
        <f ca="1">RND_PERFORMANCE_MODEL!B3*(0.9+RAND()*0.2)</f>
        <v>0.92536166155778132</v>
      </c>
      <c r="D24">
        <f t="shared" ca="1" si="0"/>
        <v>14</v>
      </c>
      <c r="R24" t="e">
        <f t="shared" ca="1" si="1"/>
        <v>#N/A</v>
      </c>
      <c r="S24">
        <f t="shared" ca="1" si="2"/>
        <v>14</v>
      </c>
      <c r="T24" t="e">
        <f t="shared" ca="1" si="3"/>
        <v>#N/A</v>
      </c>
    </row>
    <row r="25" spans="2:20" x14ac:dyDescent="0.2">
      <c r="B25" s="2">
        <f ca="1">RND_PERFORMANCE_MODEL!B2*(0.8+RAND()*0.4)</f>
        <v>1603931.5900128856</v>
      </c>
      <c r="C25" s="15">
        <f ca="1">RND_PERFORMANCE_MODEL!B3*(0.9+RAND()*0.2)</f>
        <v>0.91813577723861672</v>
      </c>
      <c r="D25">
        <f t="shared" ca="1" si="0"/>
        <v>16</v>
      </c>
      <c r="R25" t="e">
        <f t="shared" ca="1" si="1"/>
        <v>#N/A</v>
      </c>
      <c r="S25">
        <f t="shared" ca="1" si="2"/>
        <v>16</v>
      </c>
      <c r="T25" t="e">
        <f t="shared" ca="1" si="3"/>
        <v>#N/A</v>
      </c>
    </row>
    <row r="26" spans="2:20" x14ac:dyDescent="0.2">
      <c r="B26" s="2">
        <f ca="1">RND_PERFORMANCE_MODEL!B2*(0.8+RAND()*0.4)</f>
        <v>1484071.8696849619</v>
      </c>
      <c r="C26" s="15">
        <f ca="1">RND_PERFORMANCE_MODEL!B3*(0.9+RAND()*0.2)</f>
        <v>0.96112764280869611</v>
      </c>
      <c r="D26">
        <f t="shared" ca="1" si="0"/>
        <v>16</v>
      </c>
      <c r="R26">
        <f t="shared" ca="1" si="1"/>
        <v>16</v>
      </c>
      <c r="S26" t="e">
        <f t="shared" ca="1" si="2"/>
        <v>#N/A</v>
      </c>
      <c r="T26" t="e">
        <f t="shared" ca="1" si="3"/>
        <v>#N/A</v>
      </c>
    </row>
    <row r="27" spans="2:20" x14ac:dyDescent="0.2">
      <c r="B27" s="2">
        <f ca="1">RND_PERFORMANCE_MODEL!B2*(0.8+RAND()*0.4)</f>
        <v>1169966.2030772348</v>
      </c>
      <c r="C27" s="15">
        <f ca="1">RND_PERFORMANCE_MODEL!B3*(0.9+RAND()*0.2)</f>
        <v>0.88203880667300472</v>
      </c>
      <c r="D27">
        <f t="shared" ca="1" si="0"/>
        <v>11</v>
      </c>
      <c r="R27" t="e">
        <f t="shared" ca="1" si="1"/>
        <v>#N/A</v>
      </c>
      <c r="S27" t="e">
        <f t="shared" ca="1" si="2"/>
        <v>#N/A</v>
      </c>
      <c r="T27">
        <f t="shared" ca="1" si="3"/>
        <v>11</v>
      </c>
    </row>
    <row r="28" spans="2:20" x14ac:dyDescent="0.2">
      <c r="B28" s="2">
        <f ca="1">RND_PERFORMANCE_MODEL!B2*(0.8+RAND()*0.4)</f>
        <v>1602417.5596683559</v>
      </c>
      <c r="C28" s="15">
        <f ca="1">RND_PERFORMANCE_MODEL!B3*(0.9+RAND()*0.2)</f>
        <v>0.99110955502144249</v>
      </c>
      <c r="D28">
        <f t="shared" ca="1" si="0"/>
        <v>17</v>
      </c>
      <c r="R28">
        <f t="shared" ca="1" si="1"/>
        <v>17</v>
      </c>
      <c r="S28" t="e">
        <f t="shared" ca="1" si="2"/>
        <v>#N/A</v>
      </c>
      <c r="T28" t="e">
        <f t="shared" ca="1" si="3"/>
        <v>#N/A</v>
      </c>
    </row>
    <row r="29" spans="2:20" x14ac:dyDescent="0.2">
      <c r="B29" s="2">
        <f ca="1">RND_PERFORMANCE_MODEL!B2*(0.8+RAND()*0.4)</f>
        <v>1131565.3198037904</v>
      </c>
      <c r="C29" s="15">
        <f ca="1">RND_PERFORMANCE_MODEL!B3*(0.9+RAND()*0.2)</f>
        <v>0.99260333393443267</v>
      </c>
      <c r="D29">
        <f t="shared" ca="1" si="0"/>
        <v>12</v>
      </c>
      <c r="R29">
        <f t="shared" ca="1" si="1"/>
        <v>12</v>
      </c>
      <c r="S29" t="e">
        <f t="shared" ca="1" si="2"/>
        <v>#N/A</v>
      </c>
      <c r="T29" t="e">
        <f t="shared" ca="1" si="3"/>
        <v>#N/A</v>
      </c>
    </row>
    <row r="30" spans="2:20" x14ac:dyDescent="0.2">
      <c r="B30" s="2">
        <f ca="1">RND_PERFORMANCE_MODEL!B2*(0.8+RAND()*0.4)</f>
        <v>1378720.0485930087</v>
      </c>
      <c r="C30" s="15">
        <f ca="1">RND_PERFORMANCE_MODEL!B3*(0.9+RAND()*0.2)</f>
        <v>0.97322338667927977</v>
      </c>
      <c r="D30">
        <f t="shared" ca="1" si="0"/>
        <v>15</v>
      </c>
      <c r="R30">
        <f t="shared" ca="1" si="1"/>
        <v>15</v>
      </c>
      <c r="S30" t="e">
        <f t="shared" ca="1" si="2"/>
        <v>#N/A</v>
      </c>
      <c r="T30" t="e">
        <f t="shared" ca="1" si="3"/>
        <v>#N/A</v>
      </c>
    </row>
    <row r="31" spans="2:20" x14ac:dyDescent="0.2">
      <c r="B31" s="2">
        <f ca="1">RND_PERFORMANCE_MODEL!B2*(0.8+RAND()*0.4)</f>
        <v>1136086.571482908</v>
      </c>
      <c r="C31" s="15">
        <f ca="1">RND_PERFORMANCE_MODEL!B3*(0.9+RAND()*0.2)</f>
        <v>0.90854468973498526</v>
      </c>
      <c r="D31">
        <f t="shared" ca="1" si="0"/>
        <v>11</v>
      </c>
      <c r="R31" t="e">
        <f t="shared" ca="1" si="1"/>
        <v>#N/A</v>
      </c>
      <c r="S31">
        <f t="shared" ca="1" si="2"/>
        <v>11</v>
      </c>
      <c r="T31" t="e">
        <f t="shared" ca="1" si="3"/>
        <v>#N/A</v>
      </c>
    </row>
    <row r="32" spans="2:20" x14ac:dyDescent="0.2">
      <c r="B32" s="2">
        <f ca="1">RND_PERFORMANCE_MODEL!B2*(0.8+RAND()*0.4)</f>
        <v>1218074.8148298846</v>
      </c>
      <c r="C32" s="15">
        <f ca="1">RND_PERFORMANCE_MODEL!B3*(0.9+RAND()*0.2)</f>
        <v>0.9148199989656508</v>
      </c>
      <c r="D32">
        <f t="shared" ca="1" si="0"/>
        <v>12</v>
      </c>
      <c r="R32" t="e">
        <f t="shared" ca="1" si="1"/>
        <v>#N/A</v>
      </c>
      <c r="S32">
        <f t="shared" ca="1" si="2"/>
        <v>12</v>
      </c>
      <c r="T32" t="e">
        <f t="shared" ca="1" si="3"/>
        <v>#N/A</v>
      </c>
    </row>
    <row r="33" spans="2:20" x14ac:dyDescent="0.2">
      <c r="B33" s="2">
        <f ca="1">RND_PERFORMANCE_MODEL!B2*(0.8+RAND()*0.4)</f>
        <v>1286173.7990991906</v>
      </c>
      <c r="C33" s="15">
        <f ca="1">RND_PERFORMANCE_MODEL!B3*(0.9+RAND()*0.2)</f>
        <v>0.91931296709169164</v>
      </c>
      <c r="D33">
        <f t="shared" ca="1" si="0"/>
        <v>13</v>
      </c>
      <c r="R33" t="e">
        <f t="shared" ca="1" si="1"/>
        <v>#N/A</v>
      </c>
      <c r="S33">
        <f t="shared" ca="1" si="2"/>
        <v>13</v>
      </c>
      <c r="T33" t="e">
        <f t="shared" ca="1" si="3"/>
        <v>#N/A</v>
      </c>
    </row>
    <row r="34" spans="2:20" x14ac:dyDescent="0.2">
      <c r="B34" s="2">
        <f ca="1">RND_PERFORMANCE_MODEL!B2*(0.8+RAND()*0.4)</f>
        <v>1343217.4597583942</v>
      </c>
      <c r="C34" s="15">
        <f ca="1">RND_PERFORMANCE_MODEL!B3*(0.9+RAND()*0.2)</f>
        <v>0.9335368224427093</v>
      </c>
      <c r="D34">
        <f t="shared" ref="D34:D51" ca="1" si="4">ROUND((B34 /100000)*(C34*1.1),0)</f>
        <v>14</v>
      </c>
      <c r="R34" t="e">
        <f t="shared" ref="R34:R51" ca="1" si="5">IF(C34&gt;=0.95, D34, NA())</f>
        <v>#N/A</v>
      </c>
      <c r="S34">
        <f t="shared" ref="S34:S51" ca="1" si="6">IF(AND(C34&lt;0.95, C34&gt;=0.9), D34, NA())</f>
        <v>14</v>
      </c>
      <c r="T34" t="e">
        <f t="shared" ref="T34:T51" ca="1" si="7">IF(C34&lt;0.9, D34, NA())</f>
        <v>#N/A</v>
      </c>
    </row>
    <row r="35" spans="2:20" x14ac:dyDescent="0.2">
      <c r="B35" s="2">
        <f ca="1">RND_PERFORMANCE_MODEL!B2*(0.8+RAND()*0.4)</f>
        <v>1328653.3755391452</v>
      </c>
      <c r="C35" s="15">
        <f ca="1">RND_PERFORMANCE_MODEL!B3*(0.9+RAND()*0.2)</f>
        <v>0.90297547737394468</v>
      </c>
      <c r="D35">
        <f t="shared" ca="1" si="4"/>
        <v>13</v>
      </c>
      <c r="R35" t="e">
        <f t="shared" ca="1" si="5"/>
        <v>#N/A</v>
      </c>
      <c r="S35">
        <f t="shared" ca="1" si="6"/>
        <v>13</v>
      </c>
      <c r="T35" t="e">
        <f t="shared" ca="1" si="7"/>
        <v>#N/A</v>
      </c>
    </row>
    <row r="36" spans="2:20" x14ac:dyDescent="0.2">
      <c r="B36" s="2">
        <f ca="1">RND_PERFORMANCE_MODEL!B2*(0.8+RAND()*0.4)</f>
        <v>1248140.1886039393</v>
      </c>
      <c r="C36" s="15">
        <f ca="1">RND_PERFORMANCE_MODEL!B3*(0.9+RAND()*0.2)</f>
        <v>0.98757139823988427</v>
      </c>
      <c r="D36">
        <f t="shared" ca="1" si="4"/>
        <v>14</v>
      </c>
      <c r="R36">
        <f t="shared" ca="1" si="5"/>
        <v>14</v>
      </c>
      <c r="S36" t="e">
        <f t="shared" ca="1" si="6"/>
        <v>#N/A</v>
      </c>
      <c r="T36" t="e">
        <f t="shared" ca="1" si="7"/>
        <v>#N/A</v>
      </c>
    </row>
    <row r="37" spans="2:20" x14ac:dyDescent="0.2">
      <c r="B37" s="2">
        <f ca="1">RND_PERFORMANCE_MODEL!B2*(0.8+RAND()*0.4)</f>
        <v>1224421.5535229673</v>
      </c>
      <c r="C37" s="15">
        <f ca="1">RND_PERFORMANCE_MODEL!B3*(0.9+RAND()*0.2)</f>
        <v>0.98868229854028022</v>
      </c>
      <c r="D37">
        <f t="shared" ca="1" si="4"/>
        <v>13</v>
      </c>
      <c r="R37">
        <f t="shared" ca="1" si="5"/>
        <v>13</v>
      </c>
      <c r="S37" t="e">
        <f t="shared" ca="1" si="6"/>
        <v>#N/A</v>
      </c>
      <c r="T37" t="e">
        <f t="shared" ca="1" si="7"/>
        <v>#N/A</v>
      </c>
    </row>
    <row r="38" spans="2:20" x14ac:dyDescent="0.2">
      <c r="B38" s="2">
        <f ca="1">RND_PERFORMANCE_MODEL!B2*(0.8+RAND()*0.4)</f>
        <v>1141820.7515532959</v>
      </c>
      <c r="C38" s="15">
        <f ca="1">RND_PERFORMANCE_MODEL!B3*(0.9+RAND()*0.2)</f>
        <v>0.89062376154486422</v>
      </c>
      <c r="D38">
        <f t="shared" ca="1" si="4"/>
        <v>11</v>
      </c>
      <c r="R38" t="e">
        <f t="shared" ca="1" si="5"/>
        <v>#N/A</v>
      </c>
      <c r="S38" t="e">
        <f t="shared" ca="1" si="6"/>
        <v>#N/A</v>
      </c>
      <c r="T38">
        <f t="shared" ca="1" si="7"/>
        <v>11</v>
      </c>
    </row>
    <row r="39" spans="2:20" x14ac:dyDescent="0.2">
      <c r="B39" s="2">
        <f ca="1">RND_PERFORMANCE_MODEL!B2*(0.8+RAND()*0.4)</f>
        <v>1174478.2319393856</v>
      </c>
      <c r="C39" s="15">
        <f ca="1">RND_PERFORMANCE_MODEL!B3*(0.9+RAND()*0.2)</f>
        <v>1.0016688957976052</v>
      </c>
      <c r="D39">
        <f t="shared" ca="1" si="4"/>
        <v>13</v>
      </c>
      <c r="R39">
        <f t="shared" ca="1" si="5"/>
        <v>13</v>
      </c>
      <c r="S39" t="e">
        <f t="shared" ca="1" si="6"/>
        <v>#N/A</v>
      </c>
      <c r="T39" t="e">
        <f t="shared" ca="1" si="7"/>
        <v>#N/A</v>
      </c>
    </row>
    <row r="40" spans="2:20" x14ac:dyDescent="0.2">
      <c r="B40" s="2">
        <f ca="1">RND_PERFORMANCE_MODEL!B2*(0.8+RAND()*0.4)</f>
        <v>1342632.0205607438</v>
      </c>
      <c r="C40" s="15">
        <f ca="1">RND_PERFORMANCE_MODEL!B3*(0.9+RAND()*0.2)</f>
        <v>1.0005912418062359</v>
      </c>
      <c r="D40">
        <f t="shared" ca="1" si="4"/>
        <v>15</v>
      </c>
      <c r="R40">
        <f t="shared" ca="1" si="5"/>
        <v>15</v>
      </c>
      <c r="S40" t="e">
        <f t="shared" ca="1" si="6"/>
        <v>#N/A</v>
      </c>
      <c r="T40" t="e">
        <f t="shared" ca="1" si="7"/>
        <v>#N/A</v>
      </c>
    </row>
    <row r="41" spans="2:20" x14ac:dyDescent="0.2">
      <c r="B41" s="2">
        <f ca="1">RND_PERFORMANCE_MODEL!B2*(0.8+RAND()*0.4)</f>
        <v>1394766.8756451388</v>
      </c>
      <c r="C41" s="15">
        <f ca="1">RND_PERFORMANCE_MODEL!B3*(0.9+RAND()*0.2)</f>
        <v>0.83356763497180053</v>
      </c>
      <c r="D41">
        <f t="shared" ca="1" si="4"/>
        <v>13</v>
      </c>
      <c r="R41" t="e">
        <f t="shared" ca="1" si="5"/>
        <v>#N/A</v>
      </c>
      <c r="S41" t="e">
        <f t="shared" ca="1" si="6"/>
        <v>#N/A</v>
      </c>
      <c r="T41">
        <f t="shared" ca="1" si="7"/>
        <v>13</v>
      </c>
    </row>
    <row r="42" spans="2:20" x14ac:dyDescent="0.2">
      <c r="B42" s="2">
        <f ca="1">RND_PERFORMANCE_MODEL!B2*(0.8+RAND()*0.4)</f>
        <v>1417859.6590555438</v>
      </c>
      <c r="C42" s="15">
        <f ca="1">RND_PERFORMANCE_MODEL!B3*(0.9+RAND()*0.2)</f>
        <v>1.0073570982429578</v>
      </c>
      <c r="D42">
        <f t="shared" ca="1" si="4"/>
        <v>16</v>
      </c>
      <c r="R42">
        <f t="shared" ca="1" si="5"/>
        <v>16</v>
      </c>
      <c r="S42" t="e">
        <f t="shared" ca="1" si="6"/>
        <v>#N/A</v>
      </c>
      <c r="T42" t="e">
        <f t="shared" ca="1" si="7"/>
        <v>#N/A</v>
      </c>
    </row>
    <row r="43" spans="2:20" x14ac:dyDescent="0.2">
      <c r="B43" s="2">
        <f ca="1">RND_PERFORMANCE_MODEL!B2*(0.8+RAND()*0.4)</f>
        <v>1345735.8912751791</v>
      </c>
      <c r="C43" s="15">
        <f ca="1">RND_PERFORMANCE_MODEL!B3*(0.9+RAND()*0.2)</f>
        <v>0.95887059905111538</v>
      </c>
      <c r="D43">
        <f t="shared" ca="1" si="4"/>
        <v>14</v>
      </c>
      <c r="R43">
        <f t="shared" ca="1" si="5"/>
        <v>14</v>
      </c>
      <c r="S43" t="e">
        <f t="shared" ca="1" si="6"/>
        <v>#N/A</v>
      </c>
      <c r="T43" t="e">
        <f t="shared" ca="1" si="7"/>
        <v>#N/A</v>
      </c>
    </row>
    <row r="44" spans="2:20" x14ac:dyDescent="0.2">
      <c r="B44" s="2">
        <f ca="1">RND_PERFORMANCE_MODEL!B2*(0.8+RAND()*0.4)</f>
        <v>1598065.7951391507</v>
      </c>
      <c r="C44" s="15">
        <f ca="1">RND_PERFORMANCE_MODEL!B3*(0.9+RAND()*0.2)</f>
        <v>0.97533203917261524</v>
      </c>
      <c r="D44">
        <f t="shared" ca="1" si="4"/>
        <v>17</v>
      </c>
      <c r="R44">
        <f t="shared" ca="1" si="5"/>
        <v>17</v>
      </c>
      <c r="S44" t="e">
        <f t="shared" ca="1" si="6"/>
        <v>#N/A</v>
      </c>
      <c r="T44" t="e">
        <f t="shared" ca="1" si="7"/>
        <v>#N/A</v>
      </c>
    </row>
    <row r="45" spans="2:20" x14ac:dyDescent="0.2">
      <c r="B45" s="2">
        <f ca="1">RND_PERFORMANCE_MODEL!B2*(0.8+RAND()*0.4)</f>
        <v>1537488.1613035116</v>
      </c>
      <c r="C45" s="15">
        <f ca="1">RND_PERFORMANCE_MODEL!B3*(0.9+RAND()*0.2)</f>
        <v>0.92094578064290467</v>
      </c>
      <c r="D45">
        <f t="shared" ca="1" si="4"/>
        <v>16</v>
      </c>
      <c r="R45" t="e">
        <f t="shared" ca="1" si="5"/>
        <v>#N/A</v>
      </c>
      <c r="S45">
        <f t="shared" ca="1" si="6"/>
        <v>16</v>
      </c>
      <c r="T45" t="e">
        <f t="shared" ca="1" si="7"/>
        <v>#N/A</v>
      </c>
    </row>
    <row r="46" spans="2:20" x14ac:dyDescent="0.2">
      <c r="B46" s="2">
        <f ca="1">RND_PERFORMANCE_MODEL!B2*(0.8+RAND()*0.4)</f>
        <v>1335947.9673483137</v>
      </c>
      <c r="C46" s="15">
        <f ca="1">RND_PERFORMANCE_MODEL!B3*(0.9+RAND()*0.2)</f>
        <v>0.93550686820586115</v>
      </c>
      <c r="D46">
        <f t="shared" ca="1" si="4"/>
        <v>14</v>
      </c>
      <c r="R46" t="e">
        <f t="shared" ca="1" si="5"/>
        <v>#N/A</v>
      </c>
      <c r="S46">
        <f t="shared" ca="1" si="6"/>
        <v>14</v>
      </c>
      <c r="T46" t="e">
        <f t="shared" ca="1" si="7"/>
        <v>#N/A</v>
      </c>
    </row>
    <row r="47" spans="2:20" x14ac:dyDescent="0.2">
      <c r="B47" s="2">
        <f ca="1">RND_PERFORMANCE_MODEL!B2*(0.8+RAND()*0.4)</f>
        <v>1525967.9100126678</v>
      </c>
      <c r="C47" s="15">
        <f ca="1">RND_PERFORMANCE_MODEL!B3*(0.9+RAND()*0.2)</f>
        <v>0.97334154094001968</v>
      </c>
      <c r="D47">
        <f t="shared" ca="1" si="4"/>
        <v>16</v>
      </c>
      <c r="R47">
        <f t="shared" ca="1" si="5"/>
        <v>16</v>
      </c>
      <c r="S47" t="e">
        <f t="shared" ca="1" si="6"/>
        <v>#N/A</v>
      </c>
      <c r="T47" t="e">
        <f t="shared" ca="1" si="7"/>
        <v>#N/A</v>
      </c>
    </row>
    <row r="48" spans="2:20" x14ac:dyDescent="0.2">
      <c r="B48" s="2">
        <f ca="1">RND_PERFORMANCE_MODEL!B2*(0.8+RAND()*0.4)</f>
        <v>1437174.2573082964</v>
      </c>
      <c r="C48" s="15">
        <f ca="1">RND_PERFORMANCE_MODEL!B3*(0.9+RAND()*0.2)</f>
        <v>0.88132202709590091</v>
      </c>
      <c r="D48">
        <f t="shared" ca="1" si="4"/>
        <v>14</v>
      </c>
      <c r="R48" t="e">
        <f t="shared" ca="1" si="5"/>
        <v>#N/A</v>
      </c>
      <c r="S48" t="e">
        <f t="shared" ca="1" si="6"/>
        <v>#N/A</v>
      </c>
      <c r="T48">
        <f t="shared" ca="1" si="7"/>
        <v>14</v>
      </c>
    </row>
    <row r="49" spans="2:20" x14ac:dyDescent="0.2">
      <c r="B49" s="2">
        <f ca="1">RND_PERFORMANCE_MODEL!B2*(0.8+RAND()*0.4)</f>
        <v>1463804.2845494996</v>
      </c>
      <c r="C49" s="15">
        <f ca="1">RND_PERFORMANCE_MODEL!B3*(0.9+RAND()*0.2)</f>
        <v>0.94129124264250741</v>
      </c>
      <c r="D49">
        <f t="shared" ca="1" si="4"/>
        <v>15</v>
      </c>
      <c r="R49" t="e">
        <f t="shared" ca="1" si="5"/>
        <v>#N/A</v>
      </c>
      <c r="S49">
        <f t="shared" ca="1" si="6"/>
        <v>15</v>
      </c>
      <c r="T49" t="e">
        <f t="shared" ca="1" si="7"/>
        <v>#N/A</v>
      </c>
    </row>
    <row r="50" spans="2:20" x14ac:dyDescent="0.2">
      <c r="B50" s="2">
        <f ca="1">RND_PERFORMANCE_MODEL!B2*(0.8+RAND()*0.4)</f>
        <v>1628411.0982146875</v>
      </c>
      <c r="C50" s="15">
        <f ca="1">RND_PERFORMANCE_MODEL!B3*(0.9+RAND()*0.2)</f>
        <v>0.90972937531216724</v>
      </c>
      <c r="D50">
        <f t="shared" ca="1" si="4"/>
        <v>16</v>
      </c>
      <c r="R50" t="e">
        <f t="shared" ca="1" si="5"/>
        <v>#N/A</v>
      </c>
      <c r="S50">
        <f t="shared" ca="1" si="6"/>
        <v>16</v>
      </c>
      <c r="T50" t="e">
        <f t="shared" ca="1" si="7"/>
        <v>#N/A</v>
      </c>
    </row>
    <row r="51" spans="2:20" x14ac:dyDescent="0.2">
      <c r="B51" s="2">
        <f ca="1">RND_PERFORMANCE_MODEL!B2*(0.8+RAND()*0.4)</f>
        <v>1638270.5727148477</v>
      </c>
      <c r="C51" s="15">
        <f ca="1">RND_PERFORMANCE_MODEL!B3*(0.9+RAND()*0.2)</f>
        <v>0.85458834450907439</v>
      </c>
      <c r="D51">
        <f t="shared" ca="1" si="4"/>
        <v>15</v>
      </c>
      <c r="R51" t="e">
        <f t="shared" ca="1" si="5"/>
        <v>#N/A</v>
      </c>
      <c r="S51" t="e">
        <f t="shared" ca="1" si="6"/>
        <v>#N/A</v>
      </c>
      <c r="T51">
        <f t="shared" ca="1" si="7"/>
        <v>15</v>
      </c>
    </row>
  </sheetData>
  <sortState xmlns:xlrd2="http://schemas.microsoft.com/office/spreadsheetml/2017/richdata2" ref="B2:D54">
    <sortCondition descending="1" ref="B2:B54"/>
  </sortState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8"/>
  <sheetViews>
    <sheetView workbookViewId="0">
      <selection activeCell="C27" sqref="C27"/>
    </sheetView>
  </sheetViews>
  <sheetFormatPr baseColWidth="10" defaultColWidth="8.83203125" defaultRowHeight="15" x14ac:dyDescent="0.2"/>
  <cols>
    <col min="1" max="1" width="24.33203125" style="1" bestFit="1" customWidth="1"/>
    <col min="2" max="2" width="12.6640625" bestFit="1" customWidth="1"/>
    <col min="3" max="3" width="15.33203125" bestFit="1" customWidth="1"/>
  </cols>
  <sheetData>
    <row r="1" spans="1:3" x14ac:dyDescent="0.2">
      <c r="A1" s="7" t="s">
        <v>33</v>
      </c>
      <c r="B1" s="7" t="s">
        <v>25</v>
      </c>
      <c r="C1" s="7" t="s">
        <v>34</v>
      </c>
    </row>
    <row r="2" spans="1:3" x14ac:dyDescent="0.2">
      <c r="A2" s="1" t="s">
        <v>64</v>
      </c>
      <c r="B2" s="26">
        <f>OPERATIONAL_SIMULATOR!B7 + RND_PERFORMANCE_MODEL!B2 + OPERATIONAL_SIMULATOR!B8</f>
        <v>11175000</v>
      </c>
      <c r="C2" t="s">
        <v>51</v>
      </c>
    </row>
    <row r="3" spans="1:3" x14ac:dyDescent="0.2">
      <c r="A3" s="1" t="s">
        <v>35</v>
      </c>
      <c r="B3" s="2">
        <f>OPERATIONAL_SIMULATOR!B7 + (MARKET_BENCHMARK!C7 * (1 - RND_PERFORMANCE_MODEL!B4))</f>
        <v>8860000</v>
      </c>
      <c r="C3" t="s">
        <v>50</v>
      </c>
    </row>
    <row r="4" spans="1:3" x14ac:dyDescent="0.2">
      <c r="A4" s="1" t="s">
        <v>31</v>
      </c>
      <c r="B4" s="20">
        <f>RND_PERFORMANCE_MODEL!B2</f>
        <v>1400000</v>
      </c>
      <c r="C4" t="s">
        <v>49</v>
      </c>
    </row>
    <row r="5" spans="1:3" x14ac:dyDescent="0.2">
      <c r="A5" s="1" t="s">
        <v>45</v>
      </c>
      <c r="B5" s="21">
        <f>RND_PERFORMANCE_MODEL!B6</f>
        <v>14</v>
      </c>
      <c r="C5" t="s">
        <v>36</v>
      </c>
    </row>
    <row r="6" spans="1:3" x14ac:dyDescent="0.2">
      <c r="A6" s="1" t="s">
        <v>47</v>
      </c>
      <c r="B6">
        <v>17</v>
      </c>
      <c r="C6" s="13" t="s">
        <v>66</v>
      </c>
    </row>
    <row r="7" spans="1:3" x14ac:dyDescent="0.2">
      <c r="A7" s="1" t="s">
        <v>46</v>
      </c>
      <c r="B7">
        <f>(B5*B6)</f>
        <v>238</v>
      </c>
      <c r="C7" t="s">
        <v>11</v>
      </c>
    </row>
    <row r="8" spans="1:3" x14ac:dyDescent="0.2">
      <c r="A8" s="1" t="s">
        <v>37</v>
      </c>
      <c r="B8" s="11">
        <f>((B5 * 17) / B2) * 1000000</f>
        <v>21.297539149888141</v>
      </c>
      <c r="C8" t="s">
        <v>48</v>
      </c>
    </row>
  </sheetData>
  <hyperlinks>
    <hyperlink ref="B4" location="RND_PERFORMANCE_MODEL!B2" display="RND_PERFORMANCE_MODEL!B2" xr:uid="{6C8FC3A9-C1E7-E745-B692-5633CB806D3E}"/>
    <hyperlink ref="B5" location="RND_PERFORMANCE_MODEL!B6" display="RND_PERFORMANCE_MODEL!B6" xr:uid="{C091D48C-83D8-BB44-869F-46DFB988773C}"/>
    <hyperlink ref="C6" r:id="rId1" xr:uid="{815721C7-378A-6D4E-AE2F-7EB5E44C35B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MARKET_BENCHMARK</vt:lpstr>
      <vt:lpstr>OPERATIONAL_SIMULATOR</vt:lpstr>
      <vt:lpstr>RND_PERFORMANCE_MODEL</vt:lpstr>
      <vt:lpstr>HEATMAP</vt:lpstr>
      <vt:lpstr>MONTE_CARLO_SIM</vt:lpstr>
      <vt:lpstr>EXECUTIVE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MOLINARI</cp:lastModifiedBy>
  <dcterms:created xsi:type="dcterms:W3CDTF">2026-03-04T14:24:14Z</dcterms:created>
  <dcterms:modified xsi:type="dcterms:W3CDTF">2026-03-08T14:41:23Z</dcterms:modified>
</cp:coreProperties>
</file>